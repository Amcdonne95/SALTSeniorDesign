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GitHubClones\SALTSeniorDesign\"/>
    </mc:Choice>
  </mc:AlternateContent>
  <bookViews>
    <workbookView xWindow="0" yWindow="0" windowWidth="19200" windowHeight="11595" activeTab="1"/>
  </bookViews>
  <sheets>
    <sheet name="Output" sheetId="1" r:id="rId1"/>
    <sheet name="Summary" sheetId="5" r:id="rId2"/>
    <sheet name="Strat Tables" sheetId="2" r:id="rId3"/>
    <sheet name="Performance" sheetId="3" r:id="rId4"/>
    <sheet name="Setup" sheetId="4" r:id="rId5"/>
  </sheets>
  <definedNames>
    <definedName name="Deal_Names">Setup!$B$9:$XFD$9</definedName>
    <definedName name="Given_Shelves">Setup!$A$12:$A$25</definedName>
    <definedName name="Num_Reports">Setup!$B$8:$XFD$8</definedName>
    <definedName name="Out.Cur_Deal">Output!$B$3</definedName>
    <definedName name="Out.Cur_Directory">Output!$B$1</definedName>
    <definedName name="Out.Cur_Report">Output!$B$4</definedName>
    <definedName name="Out.Cur_Shelf">Output!$B$2</definedName>
    <definedName name="_xlnm.Print_Area" localSheetId="1">Summary!$A$1:$H$48,Summary!$J$1:$S$44</definedName>
    <definedName name="PTI">Summary!$A$28:$G$41</definedName>
    <definedName name="Setup.Deal">Setup!$B$3</definedName>
    <definedName name="Setup.Directory">Setup!$B$1</definedName>
    <definedName name="Setup.Max_Report_Num">Setup!$B$6</definedName>
    <definedName name="Setup.Num_Deals">Setup!$B$5</definedName>
    <definedName name="Setup.Report">Setup!$B$4</definedName>
    <definedName name="Setup.Shelf">Setup!$B$2</definedName>
    <definedName name="Shelf_List">Setup!$B$7:$Z$7</definedName>
    <definedName name="Summary.Statistics">Summary!$A$3:$B$4,Summary!$A$6:$B$8,Summary!$A$10:$B$12,Summary!$A$14:$B$18,Summary!$A$20:$B$22,Summary!$A$24:$B$26,Summary!$A$29:$B$31,Summary!$A$33:$B$35,Summary!$B$37:$B$39,Summary!$A$41:$B$43,Summary!$B$45:$B$48</definedName>
    <definedName name="Tapes">Setup!$A$9:$AU$100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B2" i="1" a="1"/>
  <c r="B2" i="1" s="1"/>
  <c r="B2" i="4" s="1"/>
  <c r="B4" i="4"/>
  <c r="B3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DY8" i="4"/>
  <c r="DZ8" i="4"/>
  <c r="EA8" i="4"/>
  <c r="EB8" i="4"/>
  <c r="EC8" i="4"/>
  <c r="ED8" i="4"/>
  <c r="EE8" i="4"/>
  <c r="EF8" i="4"/>
  <c r="EG8" i="4"/>
  <c r="EH8" i="4"/>
  <c r="EI8" i="4"/>
  <c r="EJ8" i="4"/>
  <c r="EK8" i="4"/>
  <c r="EL8" i="4"/>
  <c r="EM8" i="4"/>
  <c r="EN8" i="4"/>
  <c r="EO8" i="4"/>
  <c r="EP8" i="4"/>
  <c r="EQ8" i="4"/>
  <c r="ER8" i="4"/>
  <c r="ES8" i="4"/>
  <c r="ET8" i="4"/>
  <c r="EU8" i="4"/>
  <c r="EV8" i="4"/>
  <c r="EW8" i="4"/>
  <c r="EX8" i="4"/>
  <c r="EY8" i="4"/>
  <c r="EZ8" i="4"/>
  <c r="FA8" i="4"/>
  <c r="FB8" i="4"/>
  <c r="FC8" i="4"/>
  <c r="FD8" i="4"/>
  <c r="FE8" i="4"/>
  <c r="FF8" i="4"/>
  <c r="FG8" i="4"/>
  <c r="FH8" i="4"/>
  <c r="FI8" i="4"/>
  <c r="FJ8" i="4"/>
  <c r="FK8" i="4"/>
  <c r="FL8" i="4"/>
  <c r="FM8" i="4"/>
  <c r="FN8" i="4"/>
  <c r="FO8" i="4"/>
  <c r="FP8" i="4"/>
  <c r="FQ8" i="4"/>
  <c r="FR8" i="4"/>
  <c r="FS8" i="4"/>
  <c r="FT8" i="4"/>
  <c r="FU8" i="4"/>
  <c r="FV8" i="4"/>
  <c r="FW8" i="4"/>
  <c r="FX8" i="4"/>
  <c r="FY8" i="4"/>
  <c r="FZ8" i="4"/>
  <c r="GA8" i="4"/>
  <c r="GB8" i="4"/>
  <c r="GC8" i="4"/>
  <c r="GD8" i="4"/>
  <c r="GE8" i="4"/>
  <c r="GF8" i="4"/>
  <c r="GG8" i="4"/>
  <c r="GH8" i="4"/>
  <c r="GI8" i="4"/>
  <c r="GJ8" i="4"/>
  <c r="GK8" i="4"/>
  <c r="GL8" i="4"/>
  <c r="GM8" i="4"/>
  <c r="GN8" i="4"/>
  <c r="GO8" i="4"/>
  <c r="GP8" i="4"/>
  <c r="GQ8" i="4"/>
  <c r="GR8" i="4"/>
  <c r="GS8" i="4"/>
  <c r="GT8" i="4"/>
  <c r="GU8" i="4"/>
  <c r="GV8" i="4"/>
  <c r="GW8" i="4"/>
  <c r="GX8" i="4"/>
  <c r="GY8" i="4"/>
  <c r="GZ8" i="4"/>
  <c r="HA8" i="4"/>
  <c r="HB8" i="4"/>
  <c r="HC8" i="4"/>
  <c r="HD8" i="4"/>
  <c r="HE8" i="4"/>
  <c r="HF8" i="4"/>
  <c r="HG8" i="4"/>
  <c r="HH8" i="4"/>
  <c r="HI8" i="4"/>
  <c r="HJ8" i="4"/>
  <c r="HK8" i="4"/>
  <c r="HL8" i="4"/>
  <c r="HM8" i="4"/>
  <c r="HN8" i="4"/>
  <c r="HO8" i="4"/>
  <c r="HP8" i="4"/>
  <c r="HQ8" i="4"/>
  <c r="HR8" i="4"/>
  <c r="HS8" i="4"/>
  <c r="HT8" i="4"/>
  <c r="HU8" i="4"/>
  <c r="HV8" i="4"/>
  <c r="HW8" i="4"/>
  <c r="HX8" i="4"/>
  <c r="HY8" i="4"/>
  <c r="HZ8" i="4"/>
  <c r="IA8" i="4"/>
  <c r="IB8" i="4"/>
  <c r="IC8" i="4"/>
  <c r="ID8" i="4"/>
  <c r="IE8" i="4"/>
  <c r="IF8" i="4"/>
  <c r="IG8" i="4"/>
  <c r="IH8" i="4"/>
  <c r="II8" i="4"/>
  <c r="IJ8" i="4"/>
  <c r="IK8" i="4"/>
  <c r="IL8" i="4"/>
  <c r="IM8" i="4"/>
  <c r="IN8" i="4"/>
  <c r="B8" i="4"/>
  <c r="B6" i="4" l="1"/>
</calcChain>
</file>

<file path=xl/sharedStrings.xml><?xml version="1.0" encoding="utf-8"?>
<sst xmlns="http://schemas.openxmlformats.org/spreadsheetml/2006/main" count="204" uniqueCount="161">
  <si>
    <t>Directory</t>
  </si>
  <si>
    <t>Shelf</t>
  </si>
  <si>
    <t>Deal</t>
  </si>
  <si>
    <t>Report</t>
  </si>
  <si>
    <t>Shelf List:</t>
  </si>
  <si>
    <t># of Reports</t>
  </si>
  <si>
    <t>AmeriCredit Automobile Receivables Trust</t>
  </si>
  <si>
    <t>Santander Drive Auto Receivables Trust</t>
  </si>
  <si>
    <t>AMCAR 2017-1</t>
  </si>
  <si>
    <t>2017\01 January\2017.03.23_AmeriCredit Automobile Receivables Trust 2017-1 Data Tape.csv</t>
  </si>
  <si>
    <t>2017\02 February\2017.03.23_AmeriCredit Automobile Receivables Trust 2017-1 Data Tape.csv</t>
  </si>
  <si>
    <t>2017\03 March\2017.04.24_AmeriCredit Automobile Receivables Trust 2017-1 Data Tape.csv</t>
  </si>
  <si>
    <t>2017\04 April\2017.05.23_AmeriCredit Automobile Receivables Trust 2017-1 Data Tape.csv</t>
  </si>
  <si>
    <t>2017\05 May\2017.06.23_AmeriCredit Automobile Receivables Trust 2017-1 Data Tape.csv</t>
  </si>
  <si>
    <t>2017\06 June\2017.07.24_AmeriCredit Automobile Receivables Trust 2017-1 Data Tape.csv</t>
  </si>
  <si>
    <t>2017\07 July\2017.08.23_AmeriCredit Automobile Receivables Trust 2017-1 Data Tape.csv</t>
  </si>
  <si>
    <t>2017\08 August\2017.09.25_AmeriCredit Automobile Receivables Trust 2017-1 Data Tape.csv</t>
  </si>
  <si>
    <t>AMCAR 2017-2</t>
  </si>
  <si>
    <t>2017\03 March\2017.05.02_AmeriCredit Automobile Receivables Trust 2017-2 Data Tape.csv</t>
  </si>
  <si>
    <t>2017\04 April\2017.06.23_AmeriCredit Automobile Receivables Trust 2017-2 Data Tape.csv</t>
  </si>
  <si>
    <t>2017\05 May\2017.07.24_AmeriCredit Automobile Receivables Trust 2017-2 Data Tape.csv</t>
  </si>
  <si>
    <t>2017\06 June\2017.08.23_AmeriCredit Automobile Receivables Trust 2017-2 Data Tape.csv</t>
  </si>
  <si>
    <t>2017\08 August\2017.09.25_AmeriCredit Automobile Receivables Trust 2017-2 Data Tape.csv</t>
  </si>
  <si>
    <t>AMCAR 2017-3</t>
  </si>
  <si>
    <t>2017\06 June\2017.07.01_AmeriCredit Automobile Receivables Trust 2017-3 Data Tape.csv</t>
  </si>
  <si>
    <t>2017\07 July\2017.08.25_AmeriCredit Automobile Receivables Trust 2017-3 Data Tape.csv</t>
  </si>
  <si>
    <t>2017\08 August\2017.09.25_AmeriCredit Automobile Receivables Trust 2017-3 Data Tape.csv</t>
  </si>
  <si>
    <t>SDART 2017-1</t>
  </si>
  <si>
    <t>2017\01 January\2017.02.15_Santander Drive Auto Receivables Trust 2017-1 Data Tape.csv</t>
  </si>
  <si>
    <t>2017\02 February\2017.03.15_Santander Drive Auto Receivables Trust 2017-1 Data Tape.csv</t>
  </si>
  <si>
    <t>2017\03 March\2017.04.17_Santander Drive Auto Receivables Trust 2017-1 Data Tape.csv</t>
  </si>
  <si>
    <t>2017\04 April\2017.05.15_Santander Drive Auto Receivables Trust 2017-1 Data Tape.csv</t>
  </si>
  <si>
    <t>2017\05 May\2017.06.15_Santander Drive Auto Receivables Trust 2017-1 Data Tape.csv</t>
  </si>
  <si>
    <t>2017\06 June\2017.07.17_Santander Drive Auto Receivables Trust 2017-1 Data Tape.csv</t>
  </si>
  <si>
    <t>2017\07 July\2017.08.15_Santander Drive Auto Receivables Trust 2017-1 Data Tape.csv</t>
  </si>
  <si>
    <t>2017\08 August\2017.09.15_Santander Drive Auto Receivables Trust 2017-1 Data Tape.csv</t>
  </si>
  <si>
    <t>2017\09 September\2017.10.16_Santander Drive Auto Receivables Trust 2017-1 Data Tape.csv</t>
  </si>
  <si>
    <t>SDART 2017-2</t>
  </si>
  <si>
    <t>2017\04 April\2017.05.18_Santander Drive Auto Receivables Trust 2017-2 Data Tape.csv</t>
  </si>
  <si>
    <t>2017\05 May\2017.06.15_Santander Drive Auto Receivables Trust 2017-2 Data Tape.csv</t>
  </si>
  <si>
    <t>2017\06 June\2017.07.17_Santander Drive Auto Receivables Trust 2017-2 Data Tape.csv</t>
  </si>
  <si>
    <t>2017\07 July\2017.08.15_Santander Drive Auto Receivables Trust 2017-2 Data Tape.csv</t>
  </si>
  <si>
    <t>2017\08 August\2017.09.15_Santander Drive Auto Receivables Trust 2017-2 Data Tape.csv</t>
  </si>
  <si>
    <t>2017\09 September\2017.10.16_Santander Drive Auto Receivables Trust 2017-2 Data Tape.csv</t>
  </si>
  <si>
    <t>SDART 2017-3</t>
  </si>
  <si>
    <t>2017\08 August\2017.09.07_Santander Drive Auto Receivables Trust 2017-3 Data Tape.csv</t>
  </si>
  <si>
    <t>2017\09 September\2017.10.16_Santander Drive Auto Receivables Trust 2017-3 Data Tape.csv</t>
  </si>
  <si>
    <t>U:\AutoLoanTapes</t>
  </si>
  <si>
    <t>Deal Selection</t>
  </si>
  <si>
    <t>Report Selection</t>
  </si>
  <si>
    <t># Deals</t>
  </si>
  <si>
    <t>Max Report Length</t>
  </si>
  <si>
    <t>2017\10 October\2017.11.22_AmeriCredit Automobile Receivables Trust 2017-1 Data Tape.csv</t>
  </si>
  <si>
    <t>2017\10 October\2017.11.22_AmeriCredit Automobile Receivables Trust 2017-2 Data Tape.csv</t>
  </si>
  <si>
    <t>Drive Auto Receivables Trust</t>
  </si>
  <si>
    <t>DRIVE 2017-1</t>
  </si>
  <si>
    <t>2017\05 May\2017.06.15_Drive Auto Receivables Trust 2017-1 Data Tape.csv</t>
  </si>
  <si>
    <t>2017\06 June\2017.07.17_Drive Auto Receivables Trust 2017-1 Data Tape.csv</t>
  </si>
  <si>
    <t>2017\07 July\2017.08.15_Drive Auto Receivables Trust 2017-1 Data Tape.csv</t>
  </si>
  <si>
    <t>2017\08 August\2017.09.15_Drive Auto Receivables Trust 2017-1 Data Tape.csv</t>
  </si>
  <si>
    <t>2017\09 September\2017.10.16_Drive Auto Receivables Trust 2017-1 Data Tape.csv</t>
  </si>
  <si>
    <t>2017\10 October\2017.11.15_Drive Auto Receivables Trust 2017-1 Data Tape.csv</t>
  </si>
  <si>
    <t>DRIVE 2017-2</t>
  </si>
  <si>
    <t>2017\06 June\2017.07.20_Drive Auto Receivables Trust 2017-2 Data Tape.csv</t>
  </si>
  <si>
    <t>2017\07 July\2017.08.15_Drive Auto Receivables Trust 2017-2 Data Tape.csv</t>
  </si>
  <si>
    <t>2017\08 August\2017.09.15_Drive Auto Receivables Trust 2017-2 Data Tape.csv</t>
  </si>
  <si>
    <t>2017\09 September\2017.10.16_Drive Auto Receivables Trust 2017-2 Data Tape.csv</t>
  </si>
  <si>
    <t>2017\10 October\2017.11.15_Drive Auto Receivables Trust 2017-2 Data Tape.csv</t>
  </si>
  <si>
    <t>DRIVE 2017-3</t>
  </si>
  <si>
    <t>2017\10 October\2017.11.15_Santander Drive Auto Receivables Trust 2017-1 Data Tape.csv</t>
  </si>
  <si>
    <t>2017\10 October\2017.11.15_Santander Drive Auto Receivables Trust 2017-2 Data Tape.csv</t>
  </si>
  <si>
    <t>2017\09 September\2017.10.11_Drive Auto Receivables Trust 2017-3 Data Tape.csv</t>
  </si>
  <si>
    <t>2017\10 October\2017.11.15_Drive Auto Receivables Trust 2017-3 Data Tape.csv</t>
  </si>
  <si>
    <t>new</t>
  </si>
  <si>
    <t>used</t>
  </si>
  <si>
    <t>Car</t>
  </si>
  <si>
    <t>Truck</t>
  </si>
  <si>
    <t>SUV</t>
  </si>
  <si>
    <t>NISSAN</t>
  </si>
  <si>
    <t>Altima</t>
  </si>
  <si>
    <t>Model Year Range</t>
  </si>
  <si>
    <t>2002-2018</t>
  </si>
  <si>
    <t>TX</t>
  </si>
  <si>
    <t>FL</t>
  </si>
  <si>
    <t>GA</t>
  </si>
  <si>
    <t>Not Subvented</t>
  </si>
  <si>
    <t>Rate Subvention</t>
  </si>
  <si>
    <t>Cash Subvention</t>
  </si>
  <si>
    <t>Stated, Not Verified</t>
  </si>
  <si>
    <t>Stated, Verified</t>
  </si>
  <si>
    <t>Stated, Third Party Verified</t>
  </si>
  <si>
    <t>Not Stated, Not Verified</t>
  </si>
  <si>
    <t>WA Credit Score</t>
  </si>
  <si>
    <t>WA PTI</t>
  </si>
  <si>
    <t>WA Original Term</t>
  </si>
  <si>
    <t>WA Remaining Term</t>
  </si>
  <si>
    <t>WA APR</t>
  </si>
  <si>
    <t>WA LTV</t>
  </si>
  <si>
    <t>Loan Statistics</t>
  </si>
  <si>
    <t>Obligor Statistics</t>
  </si>
  <si>
    <t>[0.0, 0.04)</t>
  </si>
  <si>
    <t>[0.04, 0.08)</t>
  </si>
  <si>
    <t>[0.08, 0.12)</t>
  </si>
  <si>
    <t>[0.12, 0.16)</t>
  </si>
  <si>
    <t>[0.16, 0.20)</t>
  </si>
  <si>
    <t>[0.20, 0.24)</t>
  </si>
  <si>
    <t>[0.24, 0.28)</t>
  </si>
  <si>
    <t>[0.28, 1000)</t>
  </si>
  <si>
    <t>[-1.0, 0.7)</t>
  </si>
  <si>
    <t>[0.7, 0.8)</t>
  </si>
  <si>
    <t>[0.8, 0.9)</t>
  </si>
  <si>
    <t>[0.9, 1.0)</t>
  </si>
  <si>
    <t>[1.0, 1.1)</t>
  </si>
  <si>
    <t>[1.1, 1.2)</t>
  </si>
  <si>
    <t>[1.2, 1.3)</t>
  </si>
  <si>
    <t>[1.3, 1.4)</t>
  </si>
  <si>
    <t>[-1.0, 0.02)</t>
  </si>
  <si>
    <t>[0.02, 0.04)</t>
  </si>
  <si>
    <t>[0.04, 0.06)</t>
  </si>
  <si>
    <t>[0.06, 0.08)</t>
  </si>
  <si>
    <t>[0.08, 0.1)</t>
  </si>
  <si>
    <t>[0.1, 0.12)</t>
  </si>
  <si>
    <t>[0.12, 0.14)</t>
  </si>
  <si>
    <t>[0.14, 0.16)</t>
  </si>
  <si>
    <t>[-1, 440)</t>
  </si>
  <si>
    <t>[440, 500)</t>
  </si>
  <si>
    <t>[500, 560)</t>
  </si>
  <si>
    <t>[560, 620)</t>
  </si>
  <si>
    <t>[620, 680)</t>
  </si>
  <si>
    <t>[680, 740)</t>
  </si>
  <si>
    <t>[740, 800)</t>
  </si>
  <si>
    <t>[800, 1000)</t>
  </si>
  <si>
    <t>No Score</t>
  </si>
  <si>
    <t>[1.4, 1000)</t>
  </si>
  <si>
    <t>[0.16, 1000)</t>
  </si>
  <si>
    <t>Days Delinquent</t>
  </si>
  <si>
    <t>Loan Count</t>
  </si>
  <si>
    <t>Sum of Loan Balance</t>
  </si>
  <si>
    <t>Average Balance</t>
  </si>
  <si>
    <t>% of Deal</t>
  </si>
  <si>
    <t>Fico Bins</t>
  </si>
  <si>
    <t>LTV Bins (%)</t>
  </si>
  <si>
    <t>PTI Bins (%)</t>
  </si>
  <si>
    <t>APR Bins (%)</t>
  </si>
  <si>
    <t>Original Terrm</t>
  </si>
  <si>
    <t>Remaining Term</t>
  </si>
  <si>
    <t>PTI</t>
  </si>
  <si>
    <t>APR</t>
  </si>
  <si>
    <t>Income Verification</t>
  </si>
  <si>
    <t>Employment Verification</t>
  </si>
  <si>
    <t>Vehicle Statistics</t>
  </si>
  <si>
    <t>DRIVE 2017-2  Month: 1</t>
  </si>
  <si>
    <t>DODGE TRUCK</t>
  </si>
  <si>
    <t>JEEP</t>
  </si>
  <si>
    <t>Journey</t>
  </si>
  <si>
    <t>Top 3 Vehicle Models</t>
  </si>
  <si>
    <t>Loans with No Credit Score</t>
  </si>
  <si>
    <t>Top 3 Vehicle Makes</t>
  </si>
  <si>
    <t>Top 3 Vehicle Years</t>
  </si>
  <si>
    <t>Top 3 Vehicle Types</t>
  </si>
  <si>
    <t>Top 3 Vehicle State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</si>
</sst>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"/>
    <numFmt numFmtId="165" formatCode="0.000"/>
    <numFmt numFmtId="166" formatCode="&quot;$&quot;#,##0"/>
    <numFmt numFmtId="167" formatCode="_(* #,##0_);_(* \(#,##0\);_(* &quot;-&quot;??_);_(@_)"/>
    <numFmt numFmtId="168" formatCode="0.0%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center"/>
    </xf>
    <xf numFmtId="168" fontId="0" fillId="0" borderId="3" xfId="1" applyNumberFormat="1" applyFont="1" applyBorder="1"/>
    <xf numFmtId="165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8" fontId="0" fillId="0" borderId="5" xfId="1" applyNumberFormat="1" applyFont="1" applyBorder="1"/>
    <xf numFmtId="10" fontId="0" fillId="0" borderId="3" xfId="1" applyNumberFormat="1" applyFont="1" applyBorder="1"/>
    <xf numFmtId="1" fontId="0" fillId="0" borderId="3" xfId="0" applyNumberFormat="1" applyBorder="1"/>
    <xf numFmtId="168" fontId="0" fillId="0" borderId="0" xfId="1" applyNumberFormat="1" applyFont="1" applyBorder="1"/>
    <xf numFmtId="1" fontId="0" fillId="0" borderId="5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7" fontId="0" fillId="0" borderId="9" xfId="2" applyNumberFormat="1" applyFont="1" applyBorder="1"/>
    <xf numFmtId="167" fontId="0" fillId="0" borderId="10" xfId="2" applyNumberFormat="1" applyFont="1" applyBorder="1"/>
    <xf numFmtId="167" fontId="0" fillId="0" borderId="11" xfId="2" applyNumberFormat="1" applyFont="1" applyBorder="1"/>
    <xf numFmtId="166" fontId="0" fillId="0" borderId="9" xfId="0" applyNumberFormat="1" applyBorder="1"/>
    <xf numFmtId="166" fontId="0" fillId="0" borderId="10" xfId="0" applyNumberFormat="1" applyBorder="1"/>
    <xf numFmtId="166" fontId="0" fillId="0" borderId="11" xfId="0" applyNumberFormat="1" applyBorder="1"/>
    <xf numFmtId="168" fontId="0" fillId="0" borderId="9" xfId="1" applyNumberFormat="1" applyFont="1" applyBorder="1"/>
    <xf numFmtId="168" fontId="0" fillId="0" borderId="10" xfId="1" applyNumberFormat="1" applyFont="1" applyBorder="1"/>
    <xf numFmtId="168" fontId="0" fillId="0" borderId="11" xfId="1" applyNumberFormat="1" applyFont="1" applyBorder="1"/>
    <xf numFmtId="1" fontId="0" fillId="0" borderId="9" xfId="0" applyNumberFormat="1" applyBorder="1"/>
    <xf numFmtId="1" fontId="0" fillId="0" borderId="10" xfId="0" applyNumberFormat="1" applyBorder="1"/>
    <xf numFmtId="1" fontId="0" fillId="0" borderId="11" xfId="0" applyNumberFormat="1" applyBorder="1"/>
    <xf numFmtId="168" fontId="0" fillId="0" borderId="1" xfId="1" applyNumberFormat="1" applyFont="1" applyBorder="1"/>
    <xf numFmtId="0" fontId="0" fillId="0" borderId="2" xfId="0" applyBorder="1" applyAlignment="1">
      <alignment horizontal="right"/>
    </xf>
    <xf numFmtId="0" fontId="0" fillId="0" borderId="2" xfId="0" applyBorder="1" applyAlignment="1">
      <alignment horizontal="right" wrapText="1"/>
    </xf>
    <xf numFmtId="0" fontId="0" fillId="0" borderId="4" xfId="0" applyBorder="1" applyAlignment="1">
      <alignment horizontal="right"/>
    </xf>
    <xf numFmtId="1" fontId="0" fillId="0" borderId="3" xfId="1" applyNumberFormat="1" applyFont="1" applyBorder="1"/>
    <xf numFmtId="0" fontId="0" fillId="0" borderId="2" xfId="0" applyBorder="1" applyAlignment="1"/>
    <xf numFmtId="0" fontId="0" fillId="0" borderId="0" xfId="0" applyAlignment="1"/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3" fillId="0" borderId="9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44823</xdr:rowOff>
    </xdr:from>
    <xdr:to>
      <xdr:col>7</xdr:col>
      <xdr:colOff>581025</xdr:colOff>
      <xdr:row>12</xdr:row>
      <xdr:rowOff>26109</xdr:rowOff>
    </xdr:to>
    <xdr:pic>
      <xdr:nvPicPr>
        <xdr:cNvPr id="5149" name="Fico Score Histogram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3175" y="321048"/>
          <a:ext cx="3667125" cy="2105361"/>
        </a:xfrm>
        <a:prstGeom prst="rect">
          <a:avLst/>
        </a:prstGeom>
      </xdr:spPr>
    </xdr:pic>
    <xdr:clientData/>
  </xdr:twoCellAnchor>
  <xdr:twoCellAnchor editAs="oneCell">
    <xdr:from>
      <xdr:col>2</xdr:col>
      <xdr:colOff>235324</xdr:colOff>
      <xdr:row>12</xdr:row>
      <xdr:rowOff>175558</xdr:rowOff>
    </xdr:from>
    <xdr:to>
      <xdr:col>7</xdr:col>
      <xdr:colOff>625849</xdr:colOff>
      <xdr:row>23</xdr:row>
      <xdr:rowOff>156845</xdr:rowOff>
    </xdr:to>
    <xdr:pic>
      <xdr:nvPicPr>
        <xdr:cNvPr id="5150" name="APR Histogram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999" y="2575858"/>
          <a:ext cx="3667125" cy="2105362"/>
        </a:xfrm>
        <a:prstGeom prst="rect">
          <a:avLst/>
        </a:prstGeom>
      </xdr:spPr>
    </xdr:pic>
    <xdr:clientData/>
  </xdr:twoCellAnchor>
  <xdr:twoCellAnchor editAs="oneCell">
    <xdr:from>
      <xdr:col>2</xdr:col>
      <xdr:colOff>224118</xdr:colOff>
      <xdr:row>24</xdr:row>
      <xdr:rowOff>104588</xdr:rowOff>
    </xdr:from>
    <xdr:to>
      <xdr:col>7</xdr:col>
      <xdr:colOff>614643</xdr:colOff>
      <xdr:row>35</xdr:row>
      <xdr:rowOff>63462</xdr:rowOff>
    </xdr:to>
    <xdr:pic>
      <xdr:nvPicPr>
        <xdr:cNvPr id="5151" name="LTV Histogram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6793" y="4828988"/>
          <a:ext cx="3667125" cy="2101999"/>
        </a:xfrm>
        <a:prstGeom prst="rect">
          <a:avLst/>
        </a:prstGeom>
      </xdr:spPr>
    </xdr:pic>
    <xdr:clientData/>
  </xdr:twoCellAnchor>
  <xdr:twoCellAnchor editAs="oneCell">
    <xdr:from>
      <xdr:col>2</xdr:col>
      <xdr:colOff>201707</xdr:colOff>
      <xdr:row>36</xdr:row>
      <xdr:rowOff>33618</xdr:rowOff>
    </xdr:from>
    <xdr:to>
      <xdr:col>7</xdr:col>
      <xdr:colOff>592232</xdr:colOff>
      <xdr:row>47</xdr:row>
      <xdr:rowOff>3699</xdr:rowOff>
    </xdr:to>
    <xdr:pic>
      <xdr:nvPicPr>
        <xdr:cNvPr id="5152" name="PTI Histogram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4382" y="7091643"/>
          <a:ext cx="3667125" cy="21036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14</xdr:row>
          <xdr:rowOff>28575</xdr:rowOff>
        </xdr:from>
        <xdr:to>
          <xdr:col>0</xdr:col>
          <xdr:colOff>1657350</xdr:colOff>
          <xdr:row>18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Tapes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2" sqref="B2"/>
    </sheetView>
  </sheetViews>
  <sheetFormatPr defaultRowHeight="15" x14ac:dyDescent="0.25"/>
  <cols>
    <col min="1" max="1" width="21.7109375" customWidth="1"/>
    <col min="2" max="2" width="82" customWidth="1"/>
  </cols>
  <sheetData>
    <row r="1" spans="1:2" x14ac:dyDescent="0.25">
      <c r="A1" t="s">
        <v>0</v>
      </c>
      <c r="B1" t="s">
        <v>47</v>
      </c>
    </row>
    <row r="2" spans="1:2" x14ac:dyDescent="0.25">
      <c r="A2" t="s">
        <v>1</v>
      </c>
      <c r="B2" t="str">
        <f t="array" ref="B2">INDEX(Shelf_List,,MATCH(Out.Cur_Deal,Deal_Names,0))</f>
        <v>Santander Drive Auto Receivables Trust</v>
      </c>
    </row>
    <row r="3" spans="1:2" x14ac:dyDescent="0.25">
      <c r="A3" t="s">
        <v>48</v>
      </c>
      <c r="B3" t="s">
        <v>27</v>
      </c>
    </row>
    <row r="4" spans="1:2" x14ac:dyDescent="0.25">
      <c r="A4" t="s">
        <v>49</v>
      </c>
      <c r="B4" t="s">
        <v>30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Setup!$B$9:$DY$9</xm:f>
          </x14:formula1>
          <xm:sqref>B3</xm:sqref>
        </x14:dataValidation>
        <x14:dataValidation type="list" allowBlank="1" showInputMessage="1" showErrorMessage="1">
          <x14:formula1>
            <xm:f>OFFSET(Setup!A12,,MATCH(B3,Setup!$B$9:$CG$9,0),80,)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67"/>
  <sheetViews>
    <sheetView tabSelected="1" zoomScale="85" zoomScaleNormal="85" workbookViewId="0">
      <selection activeCell="N20" sqref="N20"/>
    </sheetView>
  </sheetViews>
  <sheetFormatPr defaultColWidth="6.28515625" defaultRowHeight="15" x14ac:dyDescent="0.25"/>
  <cols>
    <col min="1" max="1" width="25.42578125" style="3" customWidth="1"/>
    <col min="2" max="2" width="9.85546875" bestFit="1" customWidth="1"/>
    <col min="3" max="3" width="10.85546875" customWidth="1"/>
    <col min="4" max="4" width="13.85546875" customWidth="1"/>
    <col min="5" max="5" width="7.140625" bestFit="1" customWidth="1"/>
    <col min="7" max="7" width="11" bestFit="1" customWidth="1"/>
    <col min="8" max="8" width="9.5703125" customWidth="1"/>
    <col min="9" max="9" width="10.42578125" customWidth="1"/>
    <col min="10" max="10" width="11.7109375" customWidth="1"/>
    <col min="11" max="11" width="9.140625" customWidth="1"/>
    <col min="12" max="12" width="16" customWidth="1"/>
    <col min="13" max="13" width="8.28515625" customWidth="1"/>
    <col min="14" max="14" width="7.5703125" customWidth="1"/>
    <col min="15" max="15" width="9.140625" customWidth="1"/>
    <col min="16" max="16" width="10" customWidth="1"/>
    <col min="17" max="17" width="6.140625" bestFit="1" customWidth="1"/>
    <col min="18" max="18" width="10.140625" customWidth="1"/>
    <col min="19" max="19" width="10.5703125" customWidth="1"/>
    <col min="20" max="27" width="12.28515625" bestFit="1" customWidth="1"/>
  </cols>
  <sheetData>
    <row r="1" spans="1:19" ht="21.75" customHeight="1" thickBot="1" x14ac:dyDescent="0.3">
      <c r="A1" s="42" t="s">
        <v>151</v>
      </c>
      <c r="B1" s="42"/>
      <c r="C1" s="42"/>
      <c r="D1" s="42"/>
      <c r="E1" s="42"/>
      <c r="J1" s="43" t="s">
        <v>151</v>
      </c>
      <c r="K1" s="43"/>
      <c r="L1" s="43"/>
      <c r="M1" s="43"/>
      <c r="N1" s="43"/>
      <c r="O1" s="43"/>
      <c r="P1" s="43"/>
      <c r="Q1" s="43"/>
    </row>
    <row r="2" spans="1:19" ht="15.75" customHeight="1" thickBot="1" x14ac:dyDescent="0.3">
      <c r="A2" s="38" t="s">
        <v>150</v>
      </c>
      <c r="B2" s="39"/>
      <c r="C2" s="36"/>
      <c r="D2" s="37"/>
      <c r="E2" s="37"/>
      <c r="F2" s="37"/>
      <c r="G2" s="37"/>
      <c r="J2" s="48" t="s">
        <v>140</v>
      </c>
      <c r="K2" s="44" t="s">
        <v>136</v>
      </c>
      <c r="L2" s="44" t="s">
        <v>137</v>
      </c>
      <c r="M2" s="44" t="s">
        <v>138</v>
      </c>
      <c r="N2" s="44" t="s">
        <v>139</v>
      </c>
      <c r="O2" s="44" t="s">
        <v>144</v>
      </c>
      <c r="P2" s="44" t="s">
        <v>145</v>
      </c>
      <c r="Q2" s="48" t="s">
        <v>146</v>
      </c>
      <c r="R2" s="48" t="s">
        <v>147</v>
      </c>
      <c r="S2" s="44" t="s">
        <v>135</v>
      </c>
    </row>
    <row r="3" spans="1:19" ht="15.75" thickBot="1" x14ac:dyDescent="0.3">
      <c r="A3" s="32" t="s">
        <v>73</v>
      </c>
      <c r="B3" s="8">
        <v>0.39921948112917083</v>
      </c>
      <c r="C3" s="36"/>
      <c r="D3" s="37"/>
      <c r="E3" s="37"/>
      <c r="F3" s="37"/>
      <c r="G3" s="37"/>
      <c r="J3" s="49"/>
      <c r="K3" s="45"/>
      <c r="L3" s="45"/>
      <c r="M3" s="45"/>
      <c r="N3" s="45"/>
      <c r="O3" s="45"/>
      <c r="P3" s="45"/>
      <c r="Q3" s="49"/>
      <c r="R3" s="49"/>
      <c r="S3" s="45"/>
    </row>
    <row r="4" spans="1:19" x14ac:dyDescent="0.25">
      <c r="A4" s="32" t="s">
        <v>74</v>
      </c>
      <c r="B4" s="8">
        <v>0.60078051887081352</v>
      </c>
      <c r="C4" s="36"/>
      <c r="D4" s="37"/>
      <c r="E4" s="37"/>
      <c r="F4" s="37"/>
      <c r="G4" s="37"/>
      <c r="J4" s="16" t="s">
        <v>124</v>
      </c>
      <c r="K4" s="19">
        <v>780</v>
      </c>
      <c r="L4" s="22">
        <v>13441222.780000011</v>
      </c>
      <c r="M4" s="22">
        <v>17232.336897435911</v>
      </c>
      <c r="N4" s="25">
        <v>1.1386503695252639E-2</v>
      </c>
      <c r="O4" s="28">
        <v>71.40848342594019</v>
      </c>
      <c r="P4" s="28">
        <v>69.978292053872195</v>
      </c>
      <c r="Q4" s="25">
        <v>0.10092831687917386</v>
      </c>
      <c r="R4" s="31">
        <v>0.21263510128919982</v>
      </c>
      <c r="S4" s="13">
        <v>2.1294871794871795</v>
      </c>
    </row>
    <row r="5" spans="1:19" x14ac:dyDescent="0.25">
      <c r="A5" s="40" t="s">
        <v>155</v>
      </c>
      <c r="B5" s="41"/>
      <c r="C5" s="36"/>
      <c r="D5" s="37"/>
      <c r="E5" s="37"/>
      <c r="F5" s="37"/>
      <c r="G5" s="37"/>
      <c r="J5" s="17" t="s">
        <v>125</v>
      </c>
      <c r="K5" s="20">
        <v>6102</v>
      </c>
      <c r="L5" s="23">
        <v>106579069.83999981</v>
      </c>
      <c r="M5" s="23">
        <v>17466.252022287743</v>
      </c>
      <c r="N5" s="26">
        <v>9.028664969198219E-2</v>
      </c>
      <c r="O5" s="29">
        <v>71.505750541461097</v>
      </c>
      <c r="P5" s="29">
        <v>70.041778737201255</v>
      </c>
      <c r="Q5" s="26">
        <v>0.10775434023782457</v>
      </c>
      <c r="R5" s="8">
        <v>0.20912191571783753</v>
      </c>
      <c r="S5" s="13">
        <v>2.1211078334972142</v>
      </c>
    </row>
    <row r="6" spans="1:19" x14ac:dyDescent="0.25">
      <c r="A6" s="32" t="s">
        <v>78</v>
      </c>
      <c r="B6" s="8">
        <v>0.10960009753459109</v>
      </c>
      <c r="C6" s="36"/>
      <c r="D6" s="37"/>
      <c r="E6" s="37"/>
      <c r="F6" s="37"/>
      <c r="G6" s="37"/>
      <c r="J6" s="17" t="s">
        <v>126</v>
      </c>
      <c r="K6" s="20">
        <v>17966</v>
      </c>
      <c r="L6" s="23">
        <v>341188433.58000028</v>
      </c>
      <c r="M6" s="23">
        <v>18990.78445842148</v>
      </c>
      <c r="N6" s="26">
        <v>0.28903198937501406</v>
      </c>
      <c r="O6" s="29">
        <v>71.647648104425514</v>
      </c>
      <c r="P6" s="29">
        <v>70.802137746870102</v>
      </c>
      <c r="Q6" s="26">
        <v>0.11270187071960769</v>
      </c>
      <c r="R6" s="8">
        <v>0.19490660344163296</v>
      </c>
      <c r="S6" s="13">
        <v>1.6067572080596682</v>
      </c>
    </row>
    <row r="7" spans="1:19" x14ac:dyDescent="0.25">
      <c r="A7" s="32" t="s">
        <v>152</v>
      </c>
      <c r="B7" s="8">
        <v>9.5585285476953427E-2</v>
      </c>
      <c r="C7" s="36"/>
      <c r="D7" s="37"/>
      <c r="E7" s="37"/>
      <c r="F7" s="37"/>
      <c r="G7" s="37"/>
      <c r="J7" s="17" t="s">
        <v>127</v>
      </c>
      <c r="K7" s="20">
        <v>20529</v>
      </c>
      <c r="L7" s="23">
        <v>414332960.57000071</v>
      </c>
      <c r="M7" s="23">
        <v>20182.812634322214</v>
      </c>
      <c r="N7" s="26">
        <v>0.35099513368792407</v>
      </c>
      <c r="O7" s="29">
        <v>71.822792406211192</v>
      </c>
      <c r="P7" s="29">
        <v>71.224299194522573</v>
      </c>
      <c r="Q7" s="26">
        <v>0.11507337405627246</v>
      </c>
      <c r="R7" s="8">
        <v>0.18392066987628314</v>
      </c>
      <c r="S7" s="13">
        <v>1.0902138438306785</v>
      </c>
    </row>
    <row r="8" spans="1:19" x14ac:dyDescent="0.25">
      <c r="A8" s="32" t="s">
        <v>153</v>
      </c>
      <c r="B8" s="8">
        <v>8.1321040361196584E-2</v>
      </c>
      <c r="C8" s="36"/>
      <c r="D8" s="37"/>
      <c r="E8" s="37"/>
      <c r="F8" s="37"/>
      <c r="G8" s="37"/>
      <c r="J8" s="17" t="s">
        <v>128</v>
      </c>
      <c r="K8" s="20">
        <v>5923</v>
      </c>
      <c r="L8" s="23">
        <v>119382515.82000028</v>
      </c>
      <c r="M8" s="23">
        <v>20155.751446901955</v>
      </c>
      <c r="N8" s="26">
        <v>0.10113287159823298</v>
      </c>
      <c r="O8" s="29">
        <v>71.242994526465992</v>
      </c>
      <c r="P8" s="29">
        <v>71.317568512353702</v>
      </c>
      <c r="Q8" s="26">
        <v>0.11034566740041357</v>
      </c>
      <c r="R8" s="8">
        <v>0.17532598114847636</v>
      </c>
      <c r="S8" s="13">
        <v>0.61539760256626708</v>
      </c>
    </row>
    <row r="9" spans="1:19" x14ac:dyDescent="0.25">
      <c r="A9" s="40" t="s">
        <v>157</v>
      </c>
      <c r="B9" s="41"/>
      <c r="C9" s="36"/>
      <c r="D9" s="37"/>
      <c r="E9" s="37"/>
      <c r="F9" s="37"/>
      <c r="G9" s="37"/>
      <c r="J9" s="17" t="s">
        <v>129</v>
      </c>
      <c r="K9" s="20">
        <v>1469</v>
      </c>
      <c r="L9" s="23">
        <v>28839421.209999979</v>
      </c>
      <c r="M9" s="23">
        <v>19632.008992511899</v>
      </c>
      <c r="N9" s="26">
        <v>2.4430826090110564E-2</v>
      </c>
      <c r="O9" s="29">
        <v>71.022899237304074</v>
      </c>
      <c r="P9" s="29">
        <v>71.060394308100612</v>
      </c>
      <c r="Q9" s="26">
        <v>0.10226425203112013</v>
      </c>
      <c r="R9" s="8">
        <v>0.17057043567134056</v>
      </c>
      <c r="S9" s="13">
        <v>0.54458815520762427</v>
      </c>
    </row>
    <row r="10" spans="1:19" x14ac:dyDescent="0.25">
      <c r="A10" s="32" t="s">
        <v>154</v>
      </c>
      <c r="B10" s="8">
        <v>3.9694404604472974E-2</v>
      </c>
      <c r="C10" s="36"/>
      <c r="D10" s="37"/>
      <c r="E10" s="37"/>
      <c r="F10" s="37"/>
      <c r="G10" s="37"/>
      <c r="J10" s="17" t="s">
        <v>130</v>
      </c>
      <c r="K10" s="20">
        <v>276</v>
      </c>
      <c r="L10" s="23">
        <v>5282347.6499999976</v>
      </c>
      <c r="M10" s="23">
        <v>19138.940760869555</v>
      </c>
      <c r="N10" s="26">
        <v>4.4748511367456202E-3</v>
      </c>
      <c r="O10" s="29">
        <v>70.74504068659698</v>
      </c>
      <c r="P10" s="29">
        <v>70.789754207109027</v>
      </c>
      <c r="Q10" s="26">
        <v>8.9882993123263311E-2</v>
      </c>
      <c r="R10" s="8">
        <v>0.15856943560009726</v>
      </c>
      <c r="S10" s="13">
        <v>0.60507246376811596</v>
      </c>
    </row>
    <row r="11" spans="1:19" x14ac:dyDescent="0.25">
      <c r="A11" s="32" t="s">
        <v>79</v>
      </c>
      <c r="B11" s="8">
        <v>3.5109646166627088E-2</v>
      </c>
      <c r="C11" s="36"/>
      <c r="D11" s="37"/>
      <c r="E11" s="37"/>
      <c r="F11" s="37"/>
      <c r="G11" s="37"/>
      <c r="J11" s="17" t="s">
        <v>131</v>
      </c>
      <c r="K11" s="20">
        <v>60</v>
      </c>
      <c r="L11" s="23">
        <v>1087345.5999999996</v>
      </c>
      <c r="M11" s="23">
        <v>18122.426666666659</v>
      </c>
      <c r="N11" s="26">
        <v>9.2112636588683274E-4</v>
      </c>
      <c r="O11" s="29">
        <v>70.073900634720005</v>
      </c>
      <c r="P11" s="29">
        <v>69.721803307062643</v>
      </c>
      <c r="Q11" s="26">
        <v>7.583947447216928E-2</v>
      </c>
      <c r="R11" s="8">
        <v>0.14993210538949164</v>
      </c>
      <c r="S11" s="13">
        <v>0.6333333333333333</v>
      </c>
    </row>
    <row r="12" spans="1:19" ht="15.75" thickBot="1" x14ac:dyDescent="0.3">
      <c r="A12" s="32">
        <v>200</v>
      </c>
      <c r="B12" s="8">
        <v>2.9801709132138535E-2</v>
      </c>
      <c r="J12" s="18" t="s">
        <v>132</v>
      </c>
      <c r="K12" s="21">
        <v>9543</v>
      </c>
      <c r="L12" s="24">
        <v>150318833.9999997</v>
      </c>
      <c r="M12" s="24">
        <v>15751.737818296102</v>
      </c>
      <c r="N12" s="27">
        <v>0.12734004835883411</v>
      </c>
      <c r="O12" s="30">
        <v>70.728647316676245</v>
      </c>
      <c r="P12" s="30">
        <v>70.449038360489141</v>
      </c>
      <c r="Q12" s="27">
        <v>0.11714480961098998</v>
      </c>
      <c r="R12" s="11">
        <v>0.21222123216541183</v>
      </c>
      <c r="S12" s="15">
        <v>0.95179712878549727</v>
      </c>
    </row>
    <row r="13" spans="1:19" ht="15.75" customHeight="1" x14ac:dyDescent="0.25">
      <c r="A13" s="40" t="s">
        <v>158</v>
      </c>
      <c r="B13" s="41"/>
      <c r="J13" s="48" t="s">
        <v>143</v>
      </c>
      <c r="K13" s="44" t="s">
        <v>136</v>
      </c>
      <c r="L13" s="44" t="s">
        <v>137</v>
      </c>
      <c r="M13" s="44" t="s">
        <v>138</v>
      </c>
      <c r="N13" s="44" t="s">
        <v>139</v>
      </c>
      <c r="O13" s="44" t="s">
        <v>144</v>
      </c>
      <c r="P13" s="44" t="s">
        <v>145</v>
      </c>
      <c r="Q13" s="48" t="s">
        <v>146</v>
      </c>
      <c r="R13" s="48" t="s">
        <v>147</v>
      </c>
      <c r="S13" s="44" t="s">
        <v>135</v>
      </c>
    </row>
    <row r="14" spans="1:19" ht="15.75" thickBot="1" x14ac:dyDescent="0.3">
      <c r="A14" s="32">
        <v>2017</v>
      </c>
      <c r="B14" s="8">
        <v>0.34056186522461102</v>
      </c>
      <c r="J14" s="49"/>
      <c r="K14" s="45"/>
      <c r="L14" s="45"/>
      <c r="M14" s="45"/>
      <c r="N14" s="45"/>
      <c r="O14" s="45"/>
      <c r="P14" s="45"/>
      <c r="Q14" s="49"/>
      <c r="R14" s="49"/>
      <c r="S14" s="45"/>
    </row>
    <row r="15" spans="1:19" x14ac:dyDescent="0.25">
      <c r="A15" s="32">
        <v>2016</v>
      </c>
      <c r="B15" s="8">
        <v>0.16640810039209794</v>
      </c>
      <c r="J15" s="16" t="s">
        <v>100</v>
      </c>
      <c r="K15" s="19">
        <v>0</v>
      </c>
      <c r="L15" s="22"/>
      <c r="M15" s="22"/>
      <c r="N15" s="25"/>
      <c r="O15" s="28"/>
      <c r="P15" s="28"/>
      <c r="Q15" s="25"/>
      <c r="R15" s="31"/>
      <c r="S15" s="13"/>
    </row>
    <row r="16" spans="1:19" x14ac:dyDescent="0.25">
      <c r="A16" s="32">
        <v>2014</v>
      </c>
      <c r="B16" s="8">
        <v>0.14190750088514287</v>
      </c>
      <c r="J16" s="17" t="s">
        <v>101</v>
      </c>
      <c r="K16" s="20">
        <v>0</v>
      </c>
      <c r="L16" s="23"/>
      <c r="M16" s="23"/>
      <c r="N16" s="26"/>
      <c r="O16" s="29"/>
      <c r="P16" s="29"/>
      <c r="Q16" s="26"/>
      <c r="R16" s="8"/>
      <c r="S16" s="13"/>
    </row>
    <row r="17" spans="1:19" x14ac:dyDescent="0.25">
      <c r="A17" s="32"/>
      <c r="B17" s="9"/>
      <c r="J17" s="17" t="s">
        <v>102</v>
      </c>
      <c r="K17" s="20">
        <v>238</v>
      </c>
      <c r="L17" s="23">
        <v>5955838.5</v>
      </c>
      <c r="M17" s="23">
        <v>25024.531512605041</v>
      </c>
      <c r="N17" s="26">
        <v>5.0453874769106422E-3</v>
      </c>
      <c r="O17" s="29">
        <v>72.105306354428507</v>
      </c>
      <c r="P17" s="29">
        <v>70.283329861949767</v>
      </c>
      <c r="Q17" s="26">
        <v>0.10192462418441235</v>
      </c>
      <c r="R17" s="8">
        <v>0.1158963409249596</v>
      </c>
      <c r="S17" s="13">
        <v>0.80252100840336138</v>
      </c>
    </row>
    <row r="18" spans="1:19" x14ac:dyDescent="0.25">
      <c r="A18" s="33" t="s">
        <v>80</v>
      </c>
      <c r="B18" s="10" t="s">
        <v>81</v>
      </c>
      <c r="J18" s="17" t="s">
        <v>103</v>
      </c>
      <c r="K18" s="20">
        <v>7085</v>
      </c>
      <c r="L18" s="23">
        <v>161617632.53000015</v>
      </c>
      <c r="M18" s="23">
        <v>22811.239594918865</v>
      </c>
      <c r="N18" s="26">
        <v>0.13691163372123114</v>
      </c>
      <c r="O18" s="29">
        <v>71.980174743251467</v>
      </c>
      <c r="P18" s="29">
        <v>71.36368384272113</v>
      </c>
      <c r="Q18" s="26">
        <v>0.10718492711045643</v>
      </c>
      <c r="R18" s="8">
        <v>0.1470664953129171</v>
      </c>
      <c r="S18" s="13">
        <v>0.90529287226534938</v>
      </c>
    </row>
    <row r="19" spans="1:19" x14ac:dyDescent="0.25">
      <c r="A19" s="40" t="s">
        <v>159</v>
      </c>
      <c r="B19" s="41"/>
      <c r="J19" s="17" t="s">
        <v>104</v>
      </c>
      <c r="K19" s="20">
        <v>30264</v>
      </c>
      <c r="L19" s="23">
        <v>607649133.79000294</v>
      </c>
      <c r="M19" s="23">
        <v>20078.282242598565</v>
      </c>
      <c r="N19" s="26">
        <v>0.51475964802935514</v>
      </c>
      <c r="O19" s="29">
        <v>71.774100296130044</v>
      </c>
      <c r="P19" s="29">
        <v>71.217631750587998</v>
      </c>
      <c r="Q19" s="26">
        <v>0.1130518042879603</v>
      </c>
      <c r="R19" s="8">
        <v>0.180064125188271</v>
      </c>
      <c r="S19" s="13">
        <v>1.1831549035157283</v>
      </c>
    </row>
    <row r="20" spans="1:19" x14ac:dyDescent="0.25">
      <c r="A20" s="32" t="s">
        <v>75</v>
      </c>
      <c r="B20" s="8">
        <v>0.56309901810821883</v>
      </c>
      <c r="J20" s="17" t="s">
        <v>105</v>
      </c>
      <c r="K20" s="20">
        <v>17261</v>
      </c>
      <c r="L20" s="23">
        <v>288896542.50000012</v>
      </c>
      <c r="M20" s="23">
        <v>16736.952812699154</v>
      </c>
      <c r="N20" s="26">
        <v>0.24473380157173266</v>
      </c>
      <c r="O20" s="29">
        <v>71.03861067572312</v>
      </c>
      <c r="P20" s="29">
        <v>70.330762481001287</v>
      </c>
      <c r="Q20" s="26">
        <v>0.11451382297712268</v>
      </c>
      <c r="R20" s="8">
        <v>0.21679940756766233</v>
      </c>
      <c r="S20" s="13">
        <v>1.4142865419153003</v>
      </c>
    </row>
    <row r="21" spans="1:19" x14ac:dyDescent="0.25">
      <c r="A21" s="32" t="s">
        <v>77</v>
      </c>
      <c r="B21" s="8">
        <v>0.30633017411874586</v>
      </c>
      <c r="J21" s="17" t="s">
        <v>106</v>
      </c>
      <c r="K21" s="20">
        <v>7800</v>
      </c>
      <c r="L21" s="23">
        <v>116333003.72999999</v>
      </c>
      <c r="M21" s="23">
        <v>14914.487657692307</v>
      </c>
      <c r="N21" s="26">
        <v>9.8549529200756339E-2</v>
      </c>
      <c r="O21" s="29">
        <v>70.667051389218017</v>
      </c>
      <c r="P21" s="29">
        <v>69.886710886099124</v>
      </c>
      <c r="Q21" s="26">
        <v>0.11649865050891614</v>
      </c>
      <c r="R21" s="8">
        <v>0.25869413861482871</v>
      </c>
      <c r="S21" s="13">
        <v>1.6360256410256411</v>
      </c>
    </row>
    <row r="22" spans="1:19" ht="15.75" thickBot="1" x14ac:dyDescent="0.3">
      <c r="A22" s="32" t="s">
        <v>76</v>
      </c>
      <c r="B22" s="8">
        <v>0.13057080777301955</v>
      </c>
      <c r="J22" s="17" t="s">
        <v>107</v>
      </c>
      <c r="K22" s="20">
        <v>0</v>
      </c>
      <c r="L22" s="23"/>
      <c r="M22" s="23"/>
      <c r="N22" s="26"/>
      <c r="O22" s="29"/>
      <c r="P22" s="29"/>
      <c r="Q22" s="26"/>
      <c r="R22" s="8"/>
      <c r="S22" s="13"/>
    </row>
    <row r="23" spans="1:19" ht="15" customHeight="1" x14ac:dyDescent="0.25">
      <c r="A23" s="40" t="s">
        <v>160</v>
      </c>
      <c r="B23" s="41"/>
      <c r="J23" s="48" t="s">
        <v>141</v>
      </c>
      <c r="K23" s="44" t="s">
        <v>136</v>
      </c>
      <c r="L23" s="44" t="s">
        <v>137</v>
      </c>
      <c r="M23" s="44" t="s">
        <v>138</v>
      </c>
      <c r="N23" s="44" t="s">
        <v>139</v>
      </c>
      <c r="O23" s="44" t="s">
        <v>144</v>
      </c>
      <c r="P23" s="44" t="s">
        <v>145</v>
      </c>
      <c r="Q23" s="48" t="s">
        <v>146</v>
      </c>
      <c r="R23" s="48" t="s">
        <v>147</v>
      </c>
      <c r="S23" s="44" t="s">
        <v>135</v>
      </c>
    </row>
    <row r="24" spans="1:19" ht="15.75" thickBot="1" x14ac:dyDescent="0.3">
      <c r="A24" s="32" t="s">
        <v>82</v>
      </c>
      <c r="B24" s="8">
        <v>0.16239184754713215</v>
      </c>
      <c r="J24" s="49"/>
      <c r="K24" s="45"/>
      <c r="L24" s="45"/>
      <c r="M24" s="45"/>
      <c r="N24" s="45"/>
      <c r="O24" s="45"/>
      <c r="P24" s="45"/>
      <c r="Q24" s="49"/>
      <c r="R24" s="49"/>
      <c r="S24" s="45"/>
    </row>
    <row r="25" spans="1:19" x14ac:dyDescent="0.25">
      <c r="A25" s="32" t="s">
        <v>83</v>
      </c>
      <c r="B25" s="8">
        <v>0.1016091134514079</v>
      </c>
      <c r="C25" s="14"/>
      <c r="J25" s="16" t="s">
        <v>108</v>
      </c>
      <c r="K25" s="19">
        <v>1569</v>
      </c>
      <c r="L25" s="22">
        <v>23205544.839999989</v>
      </c>
      <c r="M25" s="22">
        <v>14790.022205226251</v>
      </c>
      <c r="N25" s="25">
        <v>1.9658183365889471E-2</v>
      </c>
      <c r="O25" s="28">
        <v>69.419520195156935</v>
      </c>
      <c r="P25" s="28">
        <v>69.574619950616935</v>
      </c>
      <c r="Q25" s="25">
        <v>0.10323176360041256</v>
      </c>
      <c r="R25" s="31">
        <v>0.1707634382494421</v>
      </c>
      <c r="S25" s="13">
        <v>0.76673040152963667</v>
      </c>
    </row>
    <row r="26" spans="1:19" ht="15.75" thickBot="1" x14ac:dyDescent="0.3">
      <c r="A26" s="34" t="s">
        <v>84</v>
      </c>
      <c r="B26" s="11">
        <v>7.9437181139946467E-2</v>
      </c>
      <c r="J26" s="17" t="s">
        <v>109</v>
      </c>
      <c r="K26" s="20">
        <v>2358</v>
      </c>
      <c r="L26" s="23">
        <v>44554595.9099999</v>
      </c>
      <c r="M26" s="23">
        <v>18895.078842239142</v>
      </c>
      <c r="N26" s="26">
        <v>3.7743669551000794E-2</v>
      </c>
      <c r="O26" s="29">
        <v>71.982461627492299</v>
      </c>
      <c r="P26" s="29">
        <v>72.093998832992682</v>
      </c>
      <c r="Q26" s="26">
        <v>0.11625881492005533</v>
      </c>
      <c r="R26" s="8">
        <v>0.18530207178263242</v>
      </c>
      <c r="S26" s="13">
        <v>1.0750636132315521</v>
      </c>
    </row>
    <row r="27" spans="1:19" ht="16.5" thickBot="1" x14ac:dyDescent="0.3">
      <c r="A27" s="38" t="s">
        <v>99</v>
      </c>
      <c r="B27" s="39"/>
      <c r="J27" s="17" t="s">
        <v>110</v>
      </c>
      <c r="K27" s="20">
        <v>5809</v>
      </c>
      <c r="L27" s="23">
        <v>118503771.38999978</v>
      </c>
      <c r="M27" s="23">
        <v>20400.029504217557</v>
      </c>
      <c r="N27" s="26">
        <v>0.10038845817222655</v>
      </c>
      <c r="O27" s="29">
        <v>72.415188573096756</v>
      </c>
      <c r="P27" s="29">
        <v>72.465885499865692</v>
      </c>
      <c r="Q27" s="26">
        <v>0.11994572465454573</v>
      </c>
      <c r="R27" s="8">
        <v>0.18877846088777547</v>
      </c>
      <c r="S27" s="13">
        <v>1.2002065760027543</v>
      </c>
    </row>
    <row r="28" spans="1:19" x14ac:dyDescent="0.25">
      <c r="A28" s="46" t="s">
        <v>148</v>
      </c>
      <c r="B28" s="47"/>
      <c r="J28" s="17" t="s">
        <v>111</v>
      </c>
      <c r="K28" s="20">
        <v>11183</v>
      </c>
      <c r="L28" s="23">
        <v>225258351.45000035</v>
      </c>
      <c r="M28" s="23">
        <v>20142.926893499091</v>
      </c>
      <c r="N28" s="26">
        <v>0.19082378836755859</v>
      </c>
      <c r="O28" s="29">
        <v>72.044136456277883</v>
      </c>
      <c r="P28" s="29">
        <v>72.05618217339574</v>
      </c>
      <c r="Q28" s="26">
        <v>0.11828761627172914</v>
      </c>
      <c r="R28" s="8">
        <v>0.19421708452417513</v>
      </c>
      <c r="S28" s="13">
        <v>1.2918715908074756</v>
      </c>
    </row>
    <row r="29" spans="1:19" x14ac:dyDescent="0.25">
      <c r="A29" s="32" t="s">
        <v>88</v>
      </c>
      <c r="B29" s="8">
        <v>0.85946600584999666</v>
      </c>
      <c r="J29" s="17" t="s">
        <v>112</v>
      </c>
      <c r="K29" s="20">
        <v>13991</v>
      </c>
      <c r="L29" s="23">
        <v>270729536.02000046</v>
      </c>
      <c r="M29" s="23">
        <v>19350.263456507786</v>
      </c>
      <c r="N29" s="26">
        <v>0.22934393044155579</v>
      </c>
      <c r="O29" s="29">
        <v>71.604523552642249</v>
      </c>
      <c r="P29" s="29">
        <v>71.30323932599633</v>
      </c>
      <c r="Q29" s="26">
        <v>0.11267963403854027</v>
      </c>
      <c r="R29" s="8">
        <v>0.19391548128541355</v>
      </c>
      <c r="S29" s="13">
        <v>1.3377885783718104</v>
      </c>
    </row>
    <row r="30" spans="1:19" x14ac:dyDescent="0.25">
      <c r="A30" s="32" t="s">
        <v>89</v>
      </c>
      <c r="B30" s="8">
        <v>0.14053399414998408</v>
      </c>
      <c r="G30" s="5"/>
      <c r="J30" s="17" t="s">
        <v>113</v>
      </c>
      <c r="K30" s="20">
        <v>14377</v>
      </c>
      <c r="L30" s="23">
        <v>265910386.889999</v>
      </c>
      <c r="M30" s="23">
        <v>18495.540578006468</v>
      </c>
      <c r="N30" s="26">
        <v>0.22526147006761002</v>
      </c>
      <c r="O30" s="29">
        <v>71.231831501360276</v>
      </c>
      <c r="P30" s="29">
        <v>70.277027640219529</v>
      </c>
      <c r="Q30" s="26">
        <v>0.11225808243629112</v>
      </c>
      <c r="R30" s="8">
        <v>0.19365372495554264</v>
      </c>
      <c r="S30" s="13">
        <v>1.2901857132920638</v>
      </c>
    </row>
    <row r="31" spans="1:19" x14ac:dyDescent="0.25">
      <c r="A31" s="32"/>
      <c r="B31" s="8"/>
      <c r="G31" s="4"/>
      <c r="J31" s="17" t="s">
        <v>114</v>
      </c>
      <c r="K31" s="20">
        <v>8309</v>
      </c>
      <c r="L31" s="23">
        <v>147940881.7400001</v>
      </c>
      <c r="M31" s="23">
        <v>17804.896105427862</v>
      </c>
      <c r="N31" s="26">
        <v>0.125325606470712</v>
      </c>
      <c r="O31" s="29">
        <v>71.016921022441934</v>
      </c>
      <c r="P31" s="29">
        <v>69.537679365125044</v>
      </c>
      <c r="Q31" s="26">
        <v>0.10715827844785557</v>
      </c>
      <c r="R31" s="8">
        <v>0.19021373879350384</v>
      </c>
      <c r="S31" s="13">
        <v>1.2966662654952461</v>
      </c>
    </row>
    <row r="32" spans="1:19" x14ac:dyDescent="0.25">
      <c r="A32" s="40" t="s">
        <v>149</v>
      </c>
      <c r="B32" s="41"/>
      <c r="J32" s="17" t="s">
        <v>115</v>
      </c>
      <c r="K32" s="20">
        <v>4681</v>
      </c>
      <c r="L32" s="23">
        <v>77968030.760000259</v>
      </c>
      <c r="M32" s="23">
        <v>16656.276599017358</v>
      </c>
      <c r="N32" s="26">
        <v>6.6049293646207444E-2</v>
      </c>
      <c r="O32" s="29">
        <v>70.605225659286617</v>
      </c>
      <c r="P32" s="29">
        <v>68.727406128347369</v>
      </c>
      <c r="Q32" s="26">
        <v>0.10088122647745341</v>
      </c>
      <c r="R32" s="8">
        <v>0.19139271176586789</v>
      </c>
      <c r="S32" s="13">
        <v>1.1743217261268959</v>
      </c>
    </row>
    <row r="33" spans="1:19" ht="15.75" thickBot="1" x14ac:dyDescent="0.3">
      <c r="A33" s="32" t="s">
        <v>88</v>
      </c>
      <c r="B33" s="8">
        <v>0.83595615597991446</v>
      </c>
      <c r="J33" s="18" t="s">
        <v>133</v>
      </c>
      <c r="K33" s="21">
        <v>371</v>
      </c>
      <c r="L33" s="24">
        <v>6381052.0499999989</v>
      </c>
      <c r="M33" s="24">
        <v>17199.601212938003</v>
      </c>
      <c r="N33" s="27">
        <v>5.4055999172215553E-3</v>
      </c>
      <c r="O33" s="30">
        <v>71.119769714149243</v>
      </c>
      <c r="P33" s="30">
        <v>61.641722317560472</v>
      </c>
      <c r="Q33" s="27">
        <v>0.11777575602398645</v>
      </c>
      <c r="R33" s="11">
        <v>0.1891678902993747</v>
      </c>
      <c r="S33" s="15">
        <v>2.4016172506738545</v>
      </c>
    </row>
    <row r="34" spans="1:19" ht="15" customHeight="1" x14ac:dyDescent="0.25">
      <c r="A34" s="32" t="s">
        <v>90</v>
      </c>
      <c r="B34" s="8">
        <v>0.11572581877078669</v>
      </c>
      <c r="J34" s="48" t="s">
        <v>142</v>
      </c>
      <c r="K34" s="44" t="s">
        <v>136</v>
      </c>
      <c r="L34" s="44" t="s">
        <v>137</v>
      </c>
      <c r="M34" s="44" t="s">
        <v>138</v>
      </c>
      <c r="N34" s="44" t="s">
        <v>139</v>
      </c>
      <c r="O34" s="44" t="s">
        <v>144</v>
      </c>
      <c r="P34" s="44" t="s">
        <v>145</v>
      </c>
      <c r="Q34" s="48" t="s">
        <v>146</v>
      </c>
      <c r="R34" s="48" t="s">
        <v>147</v>
      </c>
      <c r="S34" s="44" t="s">
        <v>135</v>
      </c>
    </row>
    <row r="35" spans="1:19" ht="15.75" thickBot="1" x14ac:dyDescent="0.3">
      <c r="A35" s="32" t="s">
        <v>91</v>
      </c>
      <c r="B35" s="8">
        <v>4.8318025249278272E-2</v>
      </c>
      <c r="J35" s="49"/>
      <c r="K35" s="45"/>
      <c r="L35" s="45"/>
      <c r="M35" s="45"/>
      <c r="N35" s="45"/>
      <c r="O35" s="45"/>
      <c r="P35" s="45"/>
      <c r="Q35" s="49"/>
      <c r="R35" s="49"/>
      <c r="S35" s="45"/>
    </row>
    <row r="36" spans="1:19" x14ac:dyDescent="0.25">
      <c r="A36" s="32"/>
      <c r="B36" s="12"/>
      <c r="J36" s="16" t="s">
        <v>116</v>
      </c>
      <c r="K36" s="19">
        <v>282</v>
      </c>
      <c r="L36" s="22">
        <v>4938926.7300000032</v>
      </c>
      <c r="M36" s="22">
        <v>17513.924574468096</v>
      </c>
      <c r="N36" s="25">
        <v>4.1839279343993683E-3</v>
      </c>
      <c r="O36" s="28">
        <v>70.293953386913287</v>
      </c>
      <c r="P36" s="28">
        <v>69.922605841127762</v>
      </c>
      <c r="Q36" s="25">
        <v>1.3219886260491946E-2</v>
      </c>
      <c r="R36" s="31">
        <v>0.18084558662140754</v>
      </c>
      <c r="S36" s="13">
        <v>0.88297872340425532</v>
      </c>
    </row>
    <row r="37" spans="1:19" x14ac:dyDescent="0.25">
      <c r="A37" s="32" t="s">
        <v>156</v>
      </c>
      <c r="B37" s="8">
        <v>0.15232728897969608</v>
      </c>
      <c r="J37" s="17" t="s">
        <v>117</v>
      </c>
      <c r="K37" s="20">
        <v>1484</v>
      </c>
      <c r="L37" s="23">
        <v>22703213.250000004</v>
      </c>
      <c r="M37" s="23">
        <v>15298.661219676553</v>
      </c>
      <c r="N37" s="26">
        <v>1.9232641687174971E-2</v>
      </c>
      <c r="O37" s="29">
        <v>70.094002461083349</v>
      </c>
      <c r="P37" s="29">
        <v>70.214904219339971</v>
      </c>
      <c r="Q37" s="26">
        <v>3.2903985582921236E-2</v>
      </c>
      <c r="R37" s="8">
        <v>0.17835308768810509</v>
      </c>
      <c r="S37" s="13">
        <v>0.81738544474393526</v>
      </c>
    </row>
    <row r="38" spans="1:19" x14ac:dyDescent="0.25">
      <c r="A38" s="32" t="s">
        <v>92</v>
      </c>
      <c r="B38" s="13">
        <v>567.8326655018559</v>
      </c>
      <c r="J38" s="17" t="s">
        <v>118</v>
      </c>
      <c r="K38" s="20">
        <v>4695</v>
      </c>
      <c r="L38" s="23">
        <v>78913374.949999928</v>
      </c>
      <c r="M38" s="23">
        <v>16807.960585729485</v>
      </c>
      <c r="N38" s="26">
        <v>6.6850125928277632E-2</v>
      </c>
      <c r="O38" s="29">
        <v>70.672773636707845</v>
      </c>
      <c r="P38" s="29">
        <v>70.656200742051794</v>
      </c>
      <c r="Q38" s="26">
        <v>5.1536467280694963E-2</v>
      </c>
      <c r="R38" s="8">
        <v>0.18489136474892337</v>
      </c>
      <c r="S38" s="13">
        <v>0.95910543130990411</v>
      </c>
    </row>
    <row r="39" spans="1:19" ht="15.75" thickBot="1" x14ac:dyDescent="0.3">
      <c r="A39" s="34" t="s">
        <v>93</v>
      </c>
      <c r="B39" s="11">
        <v>0.11288991007766887</v>
      </c>
      <c r="J39" s="17" t="s">
        <v>119</v>
      </c>
      <c r="K39" s="20">
        <v>7916</v>
      </c>
      <c r="L39" s="23">
        <v>139656298.7599996</v>
      </c>
      <c r="M39" s="23">
        <v>17642.281298635626</v>
      </c>
      <c r="N39" s="26">
        <v>0.11830746264113734</v>
      </c>
      <c r="O39" s="29">
        <v>71.056428136575093</v>
      </c>
      <c r="P39" s="29">
        <v>70.873546549516192</v>
      </c>
      <c r="Q39" s="26">
        <v>7.0520119304580006E-2</v>
      </c>
      <c r="R39" s="8">
        <v>0.19102118261251566</v>
      </c>
      <c r="S39" s="13">
        <v>1.1354219302678121</v>
      </c>
    </row>
    <row r="40" spans="1:19" ht="16.5" thickBot="1" x14ac:dyDescent="0.3">
      <c r="A40" s="38" t="s">
        <v>98</v>
      </c>
      <c r="B40" s="39"/>
      <c r="J40" s="17" t="s">
        <v>120</v>
      </c>
      <c r="K40" s="20">
        <v>9694</v>
      </c>
      <c r="L40" s="23">
        <v>178122759.4600006</v>
      </c>
      <c r="M40" s="23">
        <v>18374.536771198742</v>
      </c>
      <c r="N40" s="26">
        <v>0.15089367180326421</v>
      </c>
      <c r="O40" s="29">
        <v>71.33970104687036</v>
      </c>
      <c r="P40" s="29">
        <v>70.86986961890625</v>
      </c>
      <c r="Q40" s="26">
        <v>9.0463998579157184E-2</v>
      </c>
      <c r="R40" s="8">
        <v>0.19245109083225292</v>
      </c>
      <c r="S40" s="13">
        <v>1.2034247988446463</v>
      </c>
    </row>
    <row r="41" spans="1:19" x14ac:dyDescent="0.25">
      <c r="A41" s="32" t="s">
        <v>85</v>
      </c>
      <c r="B41" s="8">
        <v>0.957945902046207</v>
      </c>
      <c r="J41" s="17" t="s">
        <v>121</v>
      </c>
      <c r="K41" s="20">
        <v>11495</v>
      </c>
      <c r="L41" s="23">
        <v>222216625.60999936</v>
      </c>
      <c r="M41" s="23">
        <v>19331.589874728088</v>
      </c>
      <c r="N41" s="26">
        <v>0.18824704195958797</v>
      </c>
      <c r="O41" s="29">
        <v>71.595003362358909</v>
      </c>
      <c r="P41" s="29">
        <v>71.002901855962534</v>
      </c>
      <c r="Q41" s="26">
        <v>0.11021700820161083</v>
      </c>
      <c r="R41" s="8">
        <v>0.19279194122018062</v>
      </c>
      <c r="S41" s="13">
        <v>1.2370595911265767</v>
      </c>
    </row>
    <row r="42" spans="1:19" x14ac:dyDescent="0.25">
      <c r="A42" s="32" t="s">
        <v>86</v>
      </c>
      <c r="B42" s="8">
        <v>4.1008848098535548E-2</v>
      </c>
      <c r="J42" s="17" t="s">
        <v>122</v>
      </c>
      <c r="K42" s="20">
        <v>11961</v>
      </c>
      <c r="L42" s="23">
        <v>236998566.76000047</v>
      </c>
      <c r="M42" s="23">
        <v>19814.276963464632</v>
      </c>
      <c r="N42" s="26">
        <v>0.20076931246149085</v>
      </c>
      <c r="O42" s="29">
        <v>71.885815072302094</v>
      </c>
      <c r="P42" s="29">
        <v>71.18962599278295</v>
      </c>
      <c r="Q42" s="26">
        <v>0.1300790868323746</v>
      </c>
      <c r="R42" s="8">
        <v>0.19372360095318916</v>
      </c>
      <c r="S42" s="13">
        <v>1.4108352144469527</v>
      </c>
    </row>
    <row r="43" spans="1:19" x14ac:dyDescent="0.25">
      <c r="A43" s="32" t="s">
        <v>87</v>
      </c>
      <c r="B43" s="8">
        <v>2.5336223898102471E-5</v>
      </c>
      <c r="J43" s="17" t="s">
        <v>123</v>
      </c>
      <c r="K43" s="20">
        <v>9195</v>
      </c>
      <c r="L43" s="23">
        <v>182804045.71999964</v>
      </c>
      <c r="M43" s="23">
        <v>19880.809757476851</v>
      </c>
      <c r="N43" s="26">
        <v>0.15485934398729703</v>
      </c>
      <c r="O43" s="29">
        <v>71.880458726698677</v>
      </c>
      <c r="P43" s="29">
        <v>71.022114852787183</v>
      </c>
      <c r="Q43" s="26">
        <v>0.14925193575352333</v>
      </c>
      <c r="R43" s="8">
        <v>0.19362002482372084</v>
      </c>
      <c r="S43" s="13">
        <v>1.3823817292006526</v>
      </c>
    </row>
    <row r="44" spans="1:19" ht="15.75" thickBot="1" x14ac:dyDescent="0.3">
      <c r="A44" s="32"/>
      <c r="B44" s="13"/>
      <c r="J44" s="18" t="s">
        <v>134</v>
      </c>
      <c r="K44" s="21">
        <v>5926</v>
      </c>
      <c r="L44" s="24">
        <v>114098339.81000006</v>
      </c>
      <c r="M44" s="24">
        <v>19253.854169760387</v>
      </c>
      <c r="N44" s="27">
        <v>9.6656471597352328E-2</v>
      </c>
      <c r="O44" s="30">
        <v>71.755323991335118</v>
      </c>
      <c r="P44" s="30">
        <v>70.170774437581187</v>
      </c>
      <c r="Q44" s="27">
        <v>0.17366738210672378</v>
      </c>
      <c r="R44" s="11">
        <v>0.19249671838445129</v>
      </c>
      <c r="S44" s="15">
        <v>1.5457306783665203</v>
      </c>
    </row>
    <row r="45" spans="1:19" x14ac:dyDescent="0.25">
      <c r="A45" s="32" t="s">
        <v>94</v>
      </c>
      <c r="B45" s="13">
        <v>71.514887028855298</v>
      </c>
    </row>
    <row r="46" spans="1:19" x14ac:dyDescent="0.25">
      <c r="A46" s="32" t="s">
        <v>95</v>
      </c>
      <c r="B46" s="35">
        <v>70.88470555363979</v>
      </c>
    </row>
    <row r="47" spans="1:19" x14ac:dyDescent="0.25">
      <c r="A47" s="32" t="s">
        <v>96</v>
      </c>
      <c r="B47" s="8">
        <v>0.19196193055072072</v>
      </c>
    </row>
    <row r="48" spans="1:19" ht="15.75" thickBot="1" x14ac:dyDescent="0.3">
      <c r="A48" s="34" t="s">
        <v>97</v>
      </c>
      <c r="B48" s="11">
        <v>1.0630129010743181</v>
      </c>
    </row>
    <row r="49" spans="1:2" x14ac:dyDescent="0.25">
      <c r="B49" s="6"/>
    </row>
    <row r="50" spans="1:2" x14ac:dyDescent="0.25">
      <c r="B50" s="6"/>
    </row>
    <row r="51" spans="1:2" x14ac:dyDescent="0.25">
      <c r="B51" s="7"/>
    </row>
    <row r="52" spans="1:2" x14ac:dyDescent="0.25">
      <c r="B52" s="6"/>
    </row>
    <row r="53" spans="1:2" x14ac:dyDescent="0.25">
      <c r="B53" s="6"/>
    </row>
    <row r="54" spans="1:2" x14ac:dyDescent="0.25">
      <c r="B54" s="6"/>
    </row>
    <row r="55" spans="1:2" x14ac:dyDescent="0.25">
      <c r="B55" s="6"/>
    </row>
    <row r="56" spans="1:2" x14ac:dyDescent="0.25">
      <c r="B56" s="6"/>
    </row>
    <row r="57" spans="1:2" x14ac:dyDescent="0.25">
      <c r="A57"/>
    </row>
    <row r="58" spans="1:2" x14ac:dyDescent="0.25">
      <c r="A58"/>
    </row>
    <row r="59" spans="1:2" x14ac:dyDescent="0.25">
      <c r="A59"/>
    </row>
    <row r="60" spans="1:2" x14ac:dyDescent="0.25">
      <c r="A60"/>
    </row>
    <row r="61" spans="1:2" x14ac:dyDescent="0.25">
      <c r="A61"/>
    </row>
    <row r="62" spans="1:2" x14ac:dyDescent="0.25">
      <c r="A62"/>
    </row>
    <row r="63" spans="1:2" x14ac:dyDescent="0.25">
      <c r="A63"/>
    </row>
    <row r="64" spans="1:2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</sheetData>
  <mergeCells count="52">
    <mergeCell ref="J2:J3"/>
    <mergeCell ref="O34:O35"/>
    <mergeCell ref="P34:P35"/>
    <mergeCell ref="Q34:Q35"/>
    <mergeCell ref="R34:R35"/>
    <mergeCell ref="N2:N3"/>
    <mergeCell ref="O2:O3"/>
    <mergeCell ref="P2:P3"/>
    <mergeCell ref="Q2:Q3"/>
    <mergeCell ref="R2:R3"/>
    <mergeCell ref="L13:L14"/>
    <mergeCell ref="M13:M14"/>
    <mergeCell ref="N13:N14"/>
    <mergeCell ref="J34:J35"/>
    <mergeCell ref="N34:N35"/>
    <mergeCell ref="N23:N24"/>
    <mergeCell ref="O23:O24"/>
    <mergeCell ref="P23:P24"/>
    <mergeCell ref="Q23:Q24"/>
    <mergeCell ref="R23:R24"/>
    <mergeCell ref="S2:S3"/>
    <mergeCell ref="S13:S14"/>
    <mergeCell ref="S23:S24"/>
    <mergeCell ref="K34:K35"/>
    <mergeCell ref="L34:L35"/>
    <mergeCell ref="M34:M35"/>
    <mergeCell ref="S34:S35"/>
    <mergeCell ref="K2:K3"/>
    <mergeCell ref="L2:L3"/>
    <mergeCell ref="M2:M3"/>
    <mergeCell ref="O13:O14"/>
    <mergeCell ref="P13:P14"/>
    <mergeCell ref="K13:K14"/>
    <mergeCell ref="Q13:Q14"/>
    <mergeCell ref="R13:R14"/>
    <mergeCell ref="K23:K24"/>
    <mergeCell ref="A40:B40"/>
    <mergeCell ref="A32:B32"/>
    <mergeCell ref="A1:E1"/>
    <mergeCell ref="J1:Q1"/>
    <mergeCell ref="A5:B5"/>
    <mergeCell ref="A9:B9"/>
    <mergeCell ref="A13:B13"/>
    <mergeCell ref="A19:B19"/>
    <mergeCell ref="A23:B23"/>
    <mergeCell ref="A27:B27"/>
    <mergeCell ref="A28:B28"/>
    <mergeCell ref="A2:B2"/>
    <mergeCell ref="J13:J14"/>
    <mergeCell ref="J23:J24"/>
    <mergeCell ref="L23:L24"/>
    <mergeCell ref="M23:M24"/>
  </mergeCells>
  <pageMargins left="0.25" right="0.25" top="0.5" bottom="0.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N19"/>
  <sheetViews>
    <sheetView workbookViewId="0">
      <selection activeCell="B7" sqref="B7:Z7"/>
    </sheetView>
  </sheetViews>
  <sheetFormatPr defaultRowHeight="15" x14ac:dyDescent="0.25"/>
  <cols>
    <col min="1" max="1" width="39.7109375" bestFit="1" customWidth="1"/>
    <col min="2" max="2" width="86" bestFit="1" customWidth="1"/>
    <col min="3" max="4" width="84.28515625" bestFit="1" customWidth="1"/>
    <col min="5" max="10" width="85" bestFit="1" customWidth="1"/>
  </cols>
  <sheetData>
    <row r="1" spans="1:248" x14ac:dyDescent="0.25">
      <c r="A1" t="s">
        <v>0</v>
      </c>
      <c r="B1" t="s">
        <v>47</v>
      </c>
    </row>
    <row r="2" spans="1:248" x14ac:dyDescent="0.25">
      <c r="A2" t="s">
        <v>1</v>
      </c>
      <c r="B2" t="str">
        <f>Output!B2</f>
        <v>Santander Drive Auto Receivables Trust</v>
      </c>
    </row>
    <row r="3" spans="1:248" x14ac:dyDescent="0.25">
      <c r="A3" t="s">
        <v>2</v>
      </c>
      <c r="B3" t="str">
        <f>Out.Cur_Deal</f>
        <v>SDART 2017-1</v>
      </c>
    </row>
    <row r="4" spans="1:248" x14ac:dyDescent="0.25">
      <c r="A4" t="s">
        <v>3</v>
      </c>
      <c r="B4" t="str">
        <f>Out.Cur_Report</f>
        <v>2017\03 March\2017.04.17_Santander Drive Auto Receivables Trust 2017-1 Data Tape.csv</v>
      </c>
    </row>
    <row r="5" spans="1:248" x14ac:dyDescent="0.25">
      <c r="A5" t="s">
        <v>50</v>
      </c>
      <c r="B5" s="2">
        <f>COUNTA(Deal_Names)+1</f>
        <v>10</v>
      </c>
    </row>
    <row r="6" spans="1:248" x14ac:dyDescent="0.25">
      <c r="A6" t="s">
        <v>51</v>
      </c>
      <c r="B6" s="2">
        <f>MAX(Num_Reports)</f>
        <v>10</v>
      </c>
    </row>
    <row r="7" spans="1:248" x14ac:dyDescent="0.25">
      <c r="A7" t="s">
        <v>4</v>
      </c>
      <c r="B7" t="s">
        <v>6</v>
      </c>
      <c r="C7" t="s">
        <v>6</v>
      </c>
      <c r="D7" t="s">
        <v>6</v>
      </c>
      <c r="E7" t="s">
        <v>54</v>
      </c>
      <c r="F7" t="s">
        <v>54</v>
      </c>
      <c r="G7" t="s">
        <v>54</v>
      </c>
      <c r="H7" t="s">
        <v>7</v>
      </c>
      <c r="I7" t="s">
        <v>7</v>
      </c>
      <c r="J7" t="s">
        <v>7</v>
      </c>
    </row>
    <row r="8" spans="1:248" x14ac:dyDescent="0.25">
      <c r="A8" t="s">
        <v>5</v>
      </c>
      <c r="B8" s="2">
        <f>COUNTA(B10:B89)</f>
        <v>9</v>
      </c>
      <c r="C8" s="2">
        <f t="shared" ref="C8:BN8" si="0">COUNTA(C10:C89)</f>
        <v>6</v>
      </c>
      <c r="D8" s="2">
        <f t="shared" si="0"/>
        <v>3</v>
      </c>
      <c r="E8" s="2">
        <f t="shared" si="0"/>
        <v>6</v>
      </c>
      <c r="F8" s="2">
        <f t="shared" si="0"/>
        <v>5</v>
      </c>
      <c r="G8" s="2">
        <f t="shared" si="0"/>
        <v>2</v>
      </c>
      <c r="H8" s="2">
        <f t="shared" si="0"/>
        <v>10</v>
      </c>
      <c r="I8" s="2">
        <f t="shared" si="0"/>
        <v>7</v>
      </c>
      <c r="J8" s="2">
        <f t="shared" si="0"/>
        <v>2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  <c r="O8" s="2">
        <f t="shared" si="0"/>
        <v>0</v>
      </c>
      <c r="P8" s="2">
        <f t="shared" si="0"/>
        <v>0</v>
      </c>
      <c r="Q8" s="2">
        <f t="shared" si="0"/>
        <v>0</v>
      </c>
      <c r="R8" s="2">
        <f t="shared" si="0"/>
        <v>0</v>
      </c>
      <c r="S8" s="2">
        <f t="shared" si="0"/>
        <v>0</v>
      </c>
      <c r="T8" s="2">
        <f t="shared" si="0"/>
        <v>0</v>
      </c>
      <c r="U8" s="2">
        <f t="shared" si="0"/>
        <v>0</v>
      </c>
      <c r="V8" s="2">
        <f t="shared" si="0"/>
        <v>0</v>
      </c>
      <c r="W8" s="2">
        <f t="shared" si="0"/>
        <v>0</v>
      </c>
      <c r="X8" s="2">
        <f t="shared" si="0"/>
        <v>0</v>
      </c>
      <c r="Y8" s="2">
        <f t="shared" si="0"/>
        <v>0</v>
      </c>
      <c r="Z8" s="2">
        <f t="shared" si="0"/>
        <v>0</v>
      </c>
      <c r="AA8" s="2">
        <f t="shared" si="0"/>
        <v>0</v>
      </c>
      <c r="AB8" s="2">
        <f t="shared" si="0"/>
        <v>0</v>
      </c>
      <c r="AC8" s="2">
        <f t="shared" si="0"/>
        <v>0</v>
      </c>
      <c r="AD8" s="2">
        <f t="shared" si="0"/>
        <v>0</v>
      </c>
      <c r="AE8" s="2">
        <f t="shared" si="0"/>
        <v>0</v>
      </c>
      <c r="AF8" s="2">
        <f t="shared" si="0"/>
        <v>0</v>
      </c>
      <c r="AG8" s="2">
        <f t="shared" si="0"/>
        <v>0</v>
      </c>
      <c r="AH8" s="2">
        <f t="shared" si="0"/>
        <v>0</v>
      </c>
      <c r="AI8" s="2">
        <f t="shared" si="0"/>
        <v>0</v>
      </c>
      <c r="AJ8" s="2">
        <f t="shared" si="0"/>
        <v>0</v>
      </c>
      <c r="AK8" s="2">
        <f t="shared" si="0"/>
        <v>0</v>
      </c>
      <c r="AL8" s="2">
        <f t="shared" si="0"/>
        <v>0</v>
      </c>
      <c r="AM8" s="2">
        <f t="shared" si="0"/>
        <v>0</v>
      </c>
      <c r="AN8" s="2">
        <f t="shared" si="0"/>
        <v>0</v>
      </c>
      <c r="AO8" s="2">
        <f t="shared" si="0"/>
        <v>0</v>
      </c>
      <c r="AP8" s="2">
        <f t="shared" si="0"/>
        <v>0</v>
      </c>
      <c r="AQ8" s="2">
        <f t="shared" si="0"/>
        <v>0</v>
      </c>
      <c r="AR8" s="2">
        <f t="shared" si="0"/>
        <v>0</v>
      </c>
      <c r="AS8" s="2">
        <f t="shared" si="0"/>
        <v>0</v>
      </c>
      <c r="AT8" s="2">
        <f t="shared" si="0"/>
        <v>0</v>
      </c>
      <c r="AU8" s="2">
        <f t="shared" si="0"/>
        <v>0</v>
      </c>
      <c r="AV8" s="2">
        <f t="shared" si="0"/>
        <v>0</v>
      </c>
      <c r="AW8" s="2">
        <f t="shared" si="0"/>
        <v>0</v>
      </c>
      <c r="AX8" s="2">
        <f t="shared" si="0"/>
        <v>0</v>
      </c>
      <c r="AY8" s="2">
        <f t="shared" si="0"/>
        <v>0</v>
      </c>
      <c r="AZ8" s="2">
        <f t="shared" si="0"/>
        <v>0</v>
      </c>
      <c r="BA8" s="2">
        <f t="shared" si="0"/>
        <v>0</v>
      </c>
      <c r="BB8" s="2">
        <f t="shared" si="0"/>
        <v>0</v>
      </c>
      <c r="BC8" s="2">
        <f t="shared" si="0"/>
        <v>0</v>
      </c>
      <c r="BD8" s="2">
        <f t="shared" si="0"/>
        <v>0</v>
      </c>
      <c r="BE8" s="2">
        <f t="shared" si="0"/>
        <v>0</v>
      </c>
      <c r="BF8" s="2">
        <f t="shared" si="0"/>
        <v>0</v>
      </c>
      <c r="BG8" s="2">
        <f t="shared" si="0"/>
        <v>0</v>
      </c>
      <c r="BH8" s="2">
        <f t="shared" si="0"/>
        <v>0</v>
      </c>
      <c r="BI8" s="2">
        <f t="shared" si="0"/>
        <v>0</v>
      </c>
      <c r="BJ8" s="2">
        <f t="shared" si="0"/>
        <v>0</v>
      </c>
      <c r="BK8" s="2">
        <f t="shared" si="0"/>
        <v>0</v>
      </c>
      <c r="BL8" s="2">
        <f t="shared" si="0"/>
        <v>0</v>
      </c>
      <c r="BM8" s="2">
        <f t="shared" si="0"/>
        <v>0</v>
      </c>
      <c r="BN8" s="2">
        <f t="shared" si="0"/>
        <v>0</v>
      </c>
      <c r="BO8" s="2">
        <f t="shared" ref="BO8:DZ8" si="1">COUNTA(BO10:BO89)</f>
        <v>0</v>
      </c>
      <c r="BP8" s="2">
        <f t="shared" si="1"/>
        <v>0</v>
      </c>
      <c r="BQ8" s="2">
        <f t="shared" si="1"/>
        <v>0</v>
      </c>
      <c r="BR8" s="2">
        <f t="shared" si="1"/>
        <v>0</v>
      </c>
      <c r="BS8" s="2">
        <f t="shared" si="1"/>
        <v>0</v>
      </c>
      <c r="BT8" s="2">
        <f t="shared" si="1"/>
        <v>0</v>
      </c>
      <c r="BU8" s="2">
        <f t="shared" si="1"/>
        <v>0</v>
      </c>
      <c r="BV8" s="2">
        <f t="shared" si="1"/>
        <v>0</v>
      </c>
      <c r="BW8" s="2">
        <f t="shared" si="1"/>
        <v>0</v>
      </c>
      <c r="BX8" s="2">
        <f t="shared" si="1"/>
        <v>0</v>
      </c>
      <c r="BY8" s="2">
        <f t="shared" si="1"/>
        <v>0</v>
      </c>
      <c r="BZ8" s="2">
        <f t="shared" si="1"/>
        <v>0</v>
      </c>
      <c r="CA8" s="2">
        <f t="shared" si="1"/>
        <v>0</v>
      </c>
      <c r="CB8" s="2">
        <f t="shared" si="1"/>
        <v>0</v>
      </c>
      <c r="CC8" s="2">
        <f t="shared" si="1"/>
        <v>0</v>
      </c>
      <c r="CD8" s="2">
        <f t="shared" si="1"/>
        <v>0</v>
      </c>
      <c r="CE8" s="2">
        <f t="shared" si="1"/>
        <v>0</v>
      </c>
      <c r="CF8" s="2">
        <f t="shared" si="1"/>
        <v>0</v>
      </c>
      <c r="CG8" s="2">
        <f t="shared" si="1"/>
        <v>0</v>
      </c>
      <c r="CH8" s="2">
        <f t="shared" si="1"/>
        <v>0</v>
      </c>
      <c r="CI8" s="2">
        <f t="shared" si="1"/>
        <v>0</v>
      </c>
      <c r="CJ8" s="2">
        <f t="shared" si="1"/>
        <v>0</v>
      </c>
      <c r="CK8" s="2">
        <f t="shared" si="1"/>
        <v>0</v>
      </c>
      <c r="CL8" s="2">
        <f t="shared" si="1"/>
        <v>0</v>
      </c>
      <c r="CM8" s="2">
        <f t="shared" si="1"/>
        <v>0</v>
      </c>
      <c r="CN8" s="2">
        <f t="shared" si="1"/>
        <v>0</v>
      </c>
      <c r="CO8" s="2">
        <f t="shared" si="1"/>
        <v>0</v>
      </c>
      <c r="CP8" s="2">
        <f t="shared" si="1"/>
        <v>0</v>
      </c>
      <c r="CQ8" s="2">
        <f t="shared" si="1"/>
        <v>0</v>
      </c>
      <c r="CR8" s="2">
        <f t="shared" si="1"/>
        <v>0</v>
      </c>
      <c r="CS8" s="2">
        <f t="shared" si="1"/>
        <v>0</v>
      </c>
      <c r="CT8" s="2">
        <f t="shared" si="1"/>
        <v>0</v>
      </c>
      <c r="CU8" s="2">
        <f t="shared" si="1"/>
        <v>0</v>
      </c>
      <c r="CV8" s="2">
        <f t="shared" si="1"/>
        <v>0</v>
      </c>
      <c r="CW8" s="2">
        <f t="shared" si="1"/>
        <v>0</v>
      </c>
      <c r="CX8" s="2">
        <f t="shared" si="1"/>
        <v>0</v>
      </c>
      <c r="CY8" s="2">
        <f t="shared" si="1"/>
        <v>0</v>
      </c>
      <c r="CZ8" s="2">
        <f t="shared" si="1"/>
        <v>0</v>
      </c>
      <c r="DA8" s="2">
        <f t="shared" si="1"/>
        <v>0</v>
      </c>
      <c r="DB8" s="2">
        <f t="shared" si="1"/>
        <v>0</v>
      </c>
      <c r="DC8" s="2">
        <f t="shared" si="1"/>
        <v>0</v>
      </c>
      <c r="DD8" s="2">
        <f t="shared" si="1"/>
        <v>0</v>
      </c>
      <c r="DE8" s="2">
        <f t="shared" si="1"/>
        <v>0</v>
      </c>
      <c r="DF8" s="2">
        <f t="shared" si="1"/>
        <v>0</v>
      </c>
      <c r="DG8" s="2">
        <f t="shared" si="1"/>
        <v>0</v>
      </c>
      <c r="DH8" s="2">
        <f t="shared" si="1"/>
        <v>0</v>
      </c>
      <c r="DI8" s="2">
        <f t="shared" si="1"/>
        <v>0</v>
      </c>
      <c r="DJ8" s="2">
        <f t="shared" si="1"/>
        <v>0</v>
      </c>
      <c r="DK8" s="2">
        <f t="shared" si="1"/>
        <v>0</v>
      </c>
      <c r="DL8" s="2">
        <f t="shared" si="1"/>
        <v>0</v>
      </c>
      <c r="DM8" s="2">
        <f t="shared" si="1"/>
        <v>0</v>
      </c>
      <c r="DN8" s="2">
        <f t="shared" si="1"/>
        <v>0</v>
      </c>
      <c r="DO8" s="2">
        <f t="shared" si="1"/>
        <v>0</v>
      </c>
      <c r="DP8" s="2">
        <f t="shared" si="1"/>
        <v>0</v>
      </c>
      <c r="DQ8" s="2">
        <f t="shared" si="1"/>
        <v>0</v>
      </c>
      <c r="DR8" s="2">
        <f t="shared" si="1"/>
        <v>0</v>
      </c>
      <c r="DS8" s="2">
        <f t="shared" si="1"/>
        <v>0</v>
      </c>
      <c r="DT8" s="2">
        <f t="shared" si="1"/>
        <v>0</v>
      </c>
      <c r="DU8" s="2">
        <f t="shared" si="1"/>
        <v>0</v>
      </c>
      <c r="DV8" s="2">
        <f t="shared" si="1"/>
        <v>0</v>
      </c>
      <c r="DW8" s="2">
        <f t="shared" si="1"/>
        <v>0</v>
      </c>
      <c r="DX8" s="2">
        <f t="shared" si="1"/>
        <v>0</v>
      </c>
      <c r="DY8" s="2">
        <f t="shared" si="1"/>
        <v>0</v>
      </c>
      <c r="DZ8" s="2">
        <f t="shared" si="1"/>
        <v>0</v>
      </c>
      <c r="EA8" s="2">
        <f t="shared" ref="EA8:GL8" si="2">COUNTA(EA10:EA89)</f>
        <v>0</v>
      </c>
      <c r="EB8" s="2">
        <f t="shared" si="2"/>
        <v>0</v>
      </c>
      <c r="EC8" s="2">
        <f t="shared" si="2"/>
        <v>0</v>
      </c>
      <c r="ED8" s="2">
        <f t="shared" si="2"/>
        <v>0</v>
      </c>
      <c r="EE8" s="2">
        <f t="shared" si="2"/>
        <v>0</v>
      </c>
      <c r="EF8" s="2">
        <f t="shared" si="2"/>
        <v>0</v>
      </c>
      <c r="EG8" s="2">
        <f t="shared" si="2"/>
        <v>0</v>
      </c>
      <c r="EH8" s="2">
        <f t="shared" si="2"/>
        <v>0</v>
      </c>
      <c r="EI8" s="2">
        <f t="shared" si="2"/>
        <v>0</v>
      </c>
      <c r="EJ8" s="2">
        <f t="shared" si="2"/>
        <v>0</v>
      </c>
      <c r="EK8" s="2">
        <f t="shared" si="2"/>
        <v>0</v>
      </c>
      <c r="EL8" s="2">
        <f t="shared" si="2"/>
        <v>0</v>
      </c>
      <c r="EM8" s="2">
        <f t="shared" si="2"/>
        <v>0</v>
      </c>
      <c r="EN8" s="2">
        <f t="shared" si="2"/>
        <v>0</v>
      </c>
      <c r="EO8" s="2">
        <f t="shared" si="2"/>
        <v>0</v>
      </c>
      <c r="EP8" s="2">
        <f t="shared" si="2"/>
        <v>0</v>
      </c>
      <c r="EQ8" s="2">
        <f t="shared" si="2"/>
        <v>0</v>
      </c>
      <c r="ER8" s="2">
        <f t="shared" si="2"/>
        <v>0</v>
      </c>
      <c r="ES8" s="2">
        <f t="shared" si="2"/>
        <v>0</v>
      </c>
      <c r="ET8" s="2">
        <f t="shared" si="2"/>
        <v>0</v>
      </c>
      <c r="EU8" s="2">
        <f t="shared" si="2"/>
        <v>0</v>
      </c>
      <c r="EV8" s="2">
        <f t="shared" si="2"/>
        <v>0</v>
      </c>
      <c r="EW8" s="2">
        <f t="shared" si="2"/>
        <v>0</v>
      </c>
      <c r="EX8" s="2">
        <f t="shared" si="2"/>
        <v>0</v>
      </c>
      <c r="EY8" s="2">
        <f t="shared" si="2"/>
        <v>0</v>
      </c>
      <c r="EZ8" s="2">
        <f t="shared" si="2"/>
        <v>0</v>
      </c>
      <c r="FA8" s="2">
        <f t="shared" si="2"/>
        <v>0</v>
      </c>
      <c r="FB8" s="2">
        <f t="shared" si="2"/>
        <v>0</v>
      </c>
      <c r="FC8" s="2">
        <f t="shared" si="2"/>
        <v>0</v>
      </c>
      <c r="FD8" s="2">
        <f t="shared" si="2"/>
        <v>0</v>
      </c>
      <c r="FE8" s="2">
        <f t="shared" si="2"/>
        <v>0</v>
      </c>
      <c r="FF8" s="2">
        <f t="shared" si="2"/>
        <v>0</v>
      </c>
      <c r="FG8" s="2">
        <f t="shared" si="2"/>
        <v>0</v>
      </c>
      <c r="FH8" s="2">
        <f t="shared" si="2"/>
        <v>0</v>
      </c>
      <c r="FI8" s="2">
        <f t="shared" si="2"/>
        <v>0</v>
      </c>
      <c r="FJ8" s="2">
        <f t="shared" si="2"/>
        <v>0</v>
      </c>
      <c r="FK8" s="2">
        <f t="shared" si="2"/>
        <v>0</v>
      </c>
      <c r="FL8" s="2">
        <f t="shared" si="2"/>
        <v>0</v>
      </c>
      <c r="FM8" s="2">
        <f t="shared" si="2"/>
        <v>0</v>
      </c>
      <c r="FN8" s="2">
        <f t="shared" si="2"/>
        <v>0</v>
      </c>
      <c r="FO8" s="2">
        <f t="shared" si="2"/>
        <v>0</v>
      </c>
      <c r="FP8" s="2">
        <f t="shared" si="2"/>
        <v>0</v>
      </c>
      <c r="FQ8" s="2">
        <f t="shared" si="2"/>
        <v>0</v>
      </c>
      <c r="FR8" s="2">
        <f t="shared" si="2"/>
        <v>0</v>
      </c>
      <c r="FS8" s="2">
        <f t="shared" si="2"/>
        <v>0</v>
      </c>
      <c r="FT8" s="2">
        <f t="shared" si="2"/>
        <v>0</v>
      </c>
      <c r="FU8" s="2">
        <f t="shared" si="2"/>
        <v>0</v>
      </c>
      <c r="FV8" s="2">
        <f t="shared" si="2"/>
        <v>0</v>
      </c>
      <c r="FW8" s="2">
        <f t="shared" si="2"/>
        <v>0</v>
      </c>
      <c r="FX8" s="2">
        <f t="shared" si="2"/>
        <v>0</v>
      </c>
      <c r="FY8" s="2">
        <f t="shared" si="2"/>
        <v>0</v>
      </c>
      <c r="FZ8" s="2">
        <f t="shared" si="2"/>
        <v>0</v>
      </c>
      <c r="GA8" s="2">
        <f t="shared" si="2"/>
        <v>0</v>
      </c>
      <c r="GB8" s="2">
        <f t="shared" si="2"/>
        <v>0</v>
      </c>
      <c r="GC8" s="2">
        <f t="shared" si="2"/>
        <v>0</v>
      </c>
      <c r="GD8" s="2">
        <f t="shared" si="2"/>
        <v>0</v>
      </c>
      <c r="GE8" s="2">
        <f t="shared" si="2"/>
        <v>0</v>
      </c>
      <c r="GF8" s="2">
        <f t="shared" si="2"/>
        <v>0</v>
      </c>
      <c r="GG8" s="2">
        <f t="shared" si="2"/>
        <v>0</v>
      </c>
      <c r="GH8" s="2">
        <f t="shared" si="2"/>
        <v>0</v>
      </c>
      <c r="GI8" s="2">
        <f t="shared" si="2"/>
        <v>0</v>
      </c>
      <c r="GJ8" s="2">
        <f t="shared" si="2"/>
        <v>0</v>
      </c>
      <c r="GK8" s="2">
        <f t="shared" si="2"/>
        <v>0</v>
      </c>
      <c r="GL8" s="2">
        <f t="shared" si="2"/>
        <v>0</v>
      </c>
      <c r="GM8" s="2">
        <f t="shared" ref="GM8:IN8" si="3">COUNTA(GM10:GM89)</f>
        <v>0</v>
      </c>
      <c r="GN8" s="2">
        <f t="shared" si="3"/>
        <v>0</v>
      </c>
      <c r="GO8" s="2">
        <f t="shared" si="3"/>
        <v>0</v>
      </c>
      <c r="GP8" s="2">
        <f t="shared" si="3"/>
        <v>0</v>
      </c>
      <c r="GQ8" s="2">
        <f t="shared" si="3"/>
        <v>0</v>
      </c>
      <c r="GR8" s="2">
        <f t="shared" si="3"/>
        <v>0</v>
      </c>
      <c r="GS8" s="2">
        <f t="shared" si="3"/>
        <v>0</v>
      </c>
      <c r="GT8" s="2">
        <f t="shared" si="3"/>
        <v>0</v>
      </c>
      <c r="GU8" s="2">
        <f t="shared" si="3"/>
        <v>0</v>
      </c>
      <c r="GV8" s="2">
        <f t="shared" si="3"/>
        <v>0</v>
      </c>
      <c r="GW8" s="2">
        <f t="shared" si="3"/>
        <v>0</v>
      </c>
      <c r="GX8" s="2">
        <f t="shared" si="3"/>
        <v>0</v>
      </c>
      <c r="GY8" s="2">
        <f t="shared" si="3"/>
        <v>0</v>
      </c>
      <c r="GZ8" s="2">
        <f t="shared" si="3"/>
        <v>0</v>
      </c>
      <c r="HA8" s="2">
        <f t="shared" si="3"/>
        <v>0</v>
      </c>
      <c r="HB8" s="2">
        <f t="shared" si="3"/>
        <v>0</v>
      </c>
      <c r="HC8" s="2">
        <f t="shared" si="3"/>
        <v>0</v>
      </c>
      <c r="HD8" s="2">
        <f t="shared" si="3"/>
        <v>0</v>
      </c>
      <c r="HE8" s="2">
        <f t="shared" si="3"/>
        <v>0</v>
      </c>
      <c r="HF8" s="2">
        <f t="shared" si="3"/>
        <v>0</v>
      </c>
      <c r="HG8" s="2">
        <f t="shared" si="3"/>
        <v>0</v>
      </c>
      <c r="HH8" s="2">
        <f t="shared" si="3"/>
        <v>0</v>
      </c>
      <c r="HI8" s="2">
        <f t="shared" si="3"/>
        <v>0</v>
      </c>
      <c r="HJ8" s="2">
        <f t="shared" si="3"/>
        <v>0</v>
      </c>
      <c r="HK8" s="2">
        <f t="shared" si="3"/>
        <v>0</v>
      </c>
      <c r="HL8" s="2">
        <f t="shared" si="3"/>
        <v>0</v>
      </c>
      <c r="HM8" s="2">
        <f t="shared" si="3"/>
        <v>0</v>
      </c>
      <c r="HN8" s="2">
        <f t="shared" si="3"/>
        <v>0</v>
      </c>
      <c r="HO8" s="2">
        <f t="shared" si="3"/>
        <v>0</v>
      </c>
      <c r="HP8" s="2">
        <f t="shared" si="3"/>
        <v>0</v>
      </c>
      <c r="HQ8" s="2">
        <f t="shared" si="3"/>
        <v>0</v>
      </c>
      <c r="HR8" s="2">
        <f t="shared" si="3"/>
        <v>0</v>
      </c>
      <c r="HS8" s="2">
        <f t="shared" si="3"/>
        <v>0</v>
      </c>
      <c r="HT8" s="2">
        <f t="shared" si="3"/>
        <v>0</v>
      </c>
      <c r="HU8" s="2">
        <f t="shared" si="3"/>
        <v>0</v>
      </c>
      <c r="HV8" s="2">
        <f t="shared" si="3"/>
        <v>0</v>
      </c>
      <c r="HW8" s="2">
        <f t="shared" si="3"/>
        <v>0</v>
      </c>
      <c r="HX8" s="2">
        <f t="shared" si="3"/>
        <v>0</v>
      </c>
      <c r="HY8" s="2">
        <f t="shared" si="3"/>
        <v>0</v>
      </c>
      <c r="HZ8" s="2">
        <f t="shared" si="3"/>
        <v>0</v>
      </c>
      <c r="IA8" s="2">
        <f t="shared" si="3"/>
        <v>0</v>
      </c>
      <c r="IB8" s="2">
        <f t="shared" si="3"/>
        <v>0</v>
      </c>
      <c r="IC8" s="2">
        <f t="shared" si="3"/>
        <v>0</v>
      </c>
      <c r="ID8" s="2">
        <f t="shared" si="3"/>
        <v>0</v>
      </c>
      <c r="IE8" s="2">
        <f t="shared" si="3"/>
        <v>0</v>
      </c>
      <c r="IF8" s="2">
        <f t="shared" si="3"/>
        <v>0</v>
      </c>
      <c r="IG8" s="2">
        <f t="shared" si="3"/>
        <v>0</v>
      </c>
      <c r="IH8" s="2">
        <f t="shared" si="3"/>
        <v>0</v>
      </c>
      <c r="II8" s="2">
        <f t="shared" si="3"/>
        <v>0</v>
      </c>
      <c r="IJ8" s="2">
        <f t="shared" si="3"/>
        <v>0</v>
      </c>
      <c r="IK8" s="2">
        <f t="shared" si="3"/>
        <v>0</v>
      </c>
      <c r="IL8" s="2">
        <f t="shared" si="3"/>
        <v>0</v>
      </c>
      <c r="IM8" s="2">
        <f t="shared" si="3"/>
        <v>0</v>
      </c>
      <c r="IN8" s="2">
        <f t="shared" si="3"/>
        <v>0</v>
      </c>
    </row>
    <row r="9" spans="1:248" x14ac:dyDescent="0.25">
      <c r="B9" t="s">
        <v>8</v>
      </c>
      <c r="C9" t="s">
        <v>17</v>
      </c>
      <c r="D9" t="s">
        <v>23</v>
      </c>
      <c r="E9" t="s">
        <v>55</v>
      </c>
      <c r="F9" t="s">
        <v>62</v>
      </c>
      <c r="G9" t="s">
        <v>68</v>
      </c>
      <c r="H9" t="s">
        <v>27</v>
      </c>
      <c r="I9" t="s">
        <v>37</v>
      </c>
      <c r="J9" t="s">
        <v>44</v>
      </c>
    </row>
    <row r="10" spans="1:248" x14ac:dyDescent="0.25">
      <c r="B10" t="s">
        <v>9</v>
      </c>
      <c r="C10" t="s">
        <v>18</v>
      </c>
      <c r="D10" t="s">
        <v>24</v>
      </c>
      <c r="E10" t="s">
        <v>56</v>
      </c>
      <c r="F10" t="s">
        <v>63</v>
      </c>
      <c r="G10" t="s">
        <v>71</v>
      </c>
      <c r="H10" t="s">
        <v>28</v>
      </c>
      <c r="I10" t="s">
        <v>38</v>
      </c>
      <c r="J10" t="s">
        <v>45</v>
      </c>
    </row>
    <row r="11" spans="1:248" x14ac:dyDescent="0.25">
      <c r="A11" s="1"/>
      <c r="B11" t="s">
        <v>10</v>
      </c>
      <c r="C11" t="s">
        <v>19</v>
      </c>
      <c r="D11" t="s">
        <v>25</v>
      </c>
      <c r="E11" t="s">
        <v>57</v>
      </c>
      <c r="F11" t="s">
        <v>64</v>
      </c>
      <c r="G11" t="s">
        <v>72</v>
      </c>
      <c r="H11" t="s">
        <v>29</v>
      </c>
      <c r="I11" t="s">
        <v>39</v>
      </c>
      <c r="J11" t="s">
        <v>46</v>
      </c>
    </row>
    <row r="12" spans="1:248" x14ac:dyDescent="0.25">
      <c r="A12" s="1" t="s">
        <v>6</v>
      </c>
      <c r="B12" t="s">
        <v>11</v>
      </c>
      <c r="C12" t="s">
        <v>20</v>
      </c>
      <c r="D12" t="s">
        <v>26</v>
      </c>
      <c r="E12" t="s">
        <v>58</v>
      </c>
      <c r="F12" t="s">
        <v>65</v>
      </c>
      <c r="H12" t="s">
        <v>30</v>
      </c>
      <c r="I12" t="s">
        <v>40</v>
      </c>
    </row>
    <row r="13" spans="1:248" x14ac:dyDescent="0.25">
      <c r="A13" s="1" t="s">
        <v>54</v>
      </c>
      <c r="B13" t="s">
        <v>12</v>
      </c>
      <c r="C13" t="s">
        <v>21</v>
      </c>
      <c r="E13" t="s">
        <v>59</v>
      </c>
      <c r="F13" t="s">
        <v>66</v>
      </c>
      <c r="H13" t="s">
        <v>31</v>
      </c>
      <c r="I13" t="s">
        <v>41</v>
      </c>
    </row>
    <row r="14" spans="1:248" x14ac:dyDescent="0.25">
      <c r="A14" t="s">
        <v>7</v>
      </c>
      <c r="B14" t="s">
        <v>13</v>
      </c>
      <c r="C14" t="s">
        <v>22</v>
      </c>
      <c r="E14" t="s">
        <v>60</v>
      </c>
      <c r="F14" t="s">
        <v>67</v>
      </c>
      <c r="H14" t="s">
        <v>32</v>
      </c>
      <c r="I14" t="s">
        <v>42</v>
      </c>
    </row>
    <row r="15" spans="1:248" x14ac:dyDescent="0.25">
      <c r="B15" t="s">
        <v>14</v>
      </c>
      <c r="C15" t="s">
        <v>53</v>
      </c>
      <c r="E15" t="s">
        <v>61</v>
      </c>
      <c r="H15" t="s">
        <v>33</v>
      </c>
      <c r="I15" t="s">
        <v>43</v>
      </c>
    </row>
    <row r="16" spans="1:248" x14ac:dyDescent="0.25">
      <c r="B16" t="s">
        <v>15</v>
      </c>
      <c r="H16" t="s">
        <v>34</v>
      </c>
      <c r="I16" t="s">
        <v>70</v>
      </c>
    </row>
    <row r="17" spans="2:8" x14ac:dyDescent="0.25">
      <c r="B17" t="s">
        <v>16</v>
      </c>
      <c r="H17" t="s">
        <v>35</v>
      </c>
    </row>
    <row r="18" spans="2:8" x14ac:dyDescent="0.25">
      <c r="B18" t="s">
        <v>52</v>
      </c>
      <c r="H18" t="s">
        <v>36</v>
      </c>
    </row>
    <row r="19" spans="2:8" x14ac:dyDescent="0.25">
      <c r="H19" t="s">
        <v>69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eList">
                <anchor moveWithCells="1" sizeWithCells="1">
                  <from>
                    <xdr:col>0</xdr:col>
                    <xdr:colOff>295275</xdr:colOff>
                    <xdr:row>14</xdr:row>
                    <xdr:rowOff>28575</xdr:rowOff>
                  </from>
                  <to>
                    <xdr:col>0</xdr:col>
                    <xdr:colOff>1657350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Output</vt:lpstr>
      <vt:lpstr>Summary</vt:lpstr>
      <vt:lpstr>Strat Tables</vt:lpstr>
      <vt:lpstr>Performance</vt:lpstr>
      <vt:lpstr>Setup</vt:lpstr>
      <vt:lpstr>Deal_Names</vt:lpstr>
      <vt:lpstr>Given_Shelves</vt:lpstr>
      <vt:lpstr>Num_Reports</vt:lpstr>
      <vt:lpstr>Out.Cur_Deal</vt:lpstr>
      <vt:lpstr>Out.Cur_Directory</vt:lpstr>
      <vt:lpstr>Out.Cur_Report</vt:lpstr>
      <vt:lpstr>Out.Cur_Shelf</vt:lpstr>
      <vt:lpstr>Summary!Print_Area</vt:lpstr>
      <vt:lpstr>PTI</vt:lpstr>
      <vt:lpstr>Setup.Deal</vt:lpstr>
      <vt:lpstr>Setup.Directory</vt:lpstr>
      <vt:lpstr>Setup.Max_Report_Num</vt:lpstr>
      <vt:lpstr>Setup.Num_Deals</vt:lpstr>
      <vt:lpstr>Setup.Report</vt:lpstr>
      <vt:lpstr>Setup.Shelf</vt:lpstr>
      <vt:lpstr>Shelf_List</vt:lpstr>
      <vt:lpstr>Summary.Statistics</vt:lpstr>
      <vt:lpstr>Tapes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McDonnell</dc:creator>
  <cp:lastModifiedBy>Austin McDonnell</cp:lastModifiedBy>
  <cp:lastPrinted>2017-12-12T19:32:15Z</cp:lastPrinted>
  <dcterms:created xsi:type="dcterms:W3CDTF">2017-11-01T16:37:04Z</dcterms:created>
  <dcterms:modified xsi:type="dcterms:W3CDTF">2017-12-13T05:51:47Z</dcterms:modified>
</cp:coreProperties>
</file>