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GitHubClones\SALTSeniorDesign\"/>
    </mc:Choice>
  </mc:AlternateContent>
  <bookViews>
    <workbookView xWindow="0" yWindow="0" windowWidth="19200" windowHeight="11595" activeTab="1"/>
  </bookViews>
  <sheets>
    <sheet name="Output" sheetId="1" r:id="rId1"/>
    <sheet name="Summary" sheetId="5" r:id="rId2"/>
    <sheet name="Strat Tables" sheetId="2" r:id="rId3"/>
    <sheet name="Performance" sheetId="3" r:id="rId4"/>
    <sheet name="Setup" sheetId="4" r:id="rId5"/>
  </sheets>
  <definedNames>
    <definedName name="Deal_Names">Setup!$B$9:$XFD$9</definedName>
    <definedName name="Given_Shelves">Setup!$A$12:$A$25</definedName>
    <definedName name="Num_Reports">Setup!$B$8:$XFD$8</definedName>
    <definedName name="Out.Cur_Deal">Output!$B$3</definedName>
    <definedName name="Out.Cur_Directory">Output!$B$1</definedName>
    <definedName name="Out.Cur_Report">Output!$B$4</definedName>
    <definedName name="Out.Cur_Shelf">Output!$B$2</definedName>
    <definedName name="Setup.Deal">Setup!$B$3</definedName>
    <definedName name="Setup.Directory">Setup!$B$1</definedName>
    <definedName name="Setup.Max_Report_Num">Setup!$B$6</definedName>
    <definedName name="Setup.Num_Deals">Setup!$B$5</definedName>
    <definedName name="Setup.Report">Setup!$B$4</definedName>
    <definedName name="Setup.Shelf">Setup!$B$2</definedName>
    <definedName name="Shelf_List">Setup!$B$7:$XFD$7</definedName>
    <definedName name="summary.incomeVerify">Summary!$C$29:$D$33</definedName>
    <definedName name="summary.jobVerify">Summary!$C$35:$D$37</definedName>
    <definedName name="summary.location">Summary!$C$23:$D$27</definedName>
    <definedName name="summary.manufact">Summary!$C$11:$D$15</definedName>
    <definedName name="summary.model">Summary!$C$17:$D$21</definedName>
    <definedName name="summary.newUsed">Summary!$C$8:$D$9</definedName>
    <definedName name="summary.WA">Summary!$C$2:$D$5</definedName>
    <definedName name="Tapes">Setup!$A$9:$AU$100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" l="1"/>
  <c r="B2" i="1" a="1"/>
  <c r="B2" i="1" s="1"/>
  <c r="B2" i="4" s="1"/>
  <c r="B4" i="4"/>
  <c r="B3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AD8" i="4"/>
  <c r="AE8" i="4"/>
  <c r="AF8" i="4"/>
  <c r="AG8" i="4"/>
  <c r="AH8" i="4"/>
  <c r="AI8" i="4"/>
  <c r="AJ8" i="4"/>
  <c r="AK8" i="4"/>
  <c r="AL8" i="4"/>
  <c r="AM8" i="4"/>
  <c r="AN8" i="4"/>
  <c r="AO8" i="4"/>
  <c r="AP8" i="4"/>
  <c r="AQ8" i="4"/>
  <c r="AR8" i="4"/>
  <c r="AS8" i="4"/>
  <c r="AT8" i="4"/>
  <c r="AU8" i="4"/>
  <c r="AV8" i="4"/>
  <c r="AW8" i="4"/>
  <c r="AX8" i="4"/>
  <c r="AY8" i="4"/>
  <c r="AZ8" i="4"/>
  <c r="BA8" i="4"/>
  <c r="BB8" i="4"/>
  <c r="BC8" i="4"/>
  <c r="BD8" i="4"/>
  <c r="BE8" i="4"/>
  <c r="BF8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CY8" i="4"/>
  <c r="CZ8" i="4"/>
  <c r="DA8" i="4"/>
  <c r="DB8" i="4"/>
  <c r="DC8" i="4"/>
  <c r="DD8" i="4"/>
  <c r="DE8" i="4"/>
  <c r="DF8" i="4"/>
  <c r="DG8" i="4"/>
  <c r="DH8" i="4"/>
  <c r="DI8" i="4"/>
  <c r="DJ8" i="4"/>
  <c r="DK8" i="4"/>
  <c r="DL8" i="4"/>
  <c r="DM8" i="4"/>
  <c r="DN8" i="4"/>
  <c r="DO8" i="4"/>
  <c r="DP8" i="4"/>
  <c r="DQ8" i="4"/>
  <c r="DR8" i="4"/>
  <c r="DS8" i="4"/>
  <c r="DT8" i="4"/>
  <c r="DU8" i="4"/>
  <c r="DV8" i="4"/>
  <c r="DW8" i="4"/>
  <c r="DX8" i="4"/>
  <c r="DY8" i="4"/>
  <c r="DZ8" i="4"/>
  <c r="EA8" i="4"/>
  <c r="EB8" i="4"/>
  <c r="EC8" i="4"/>
  <c r="ED8" i="4"/>
  <c r="EE8" i="4"/>
  <c r="EF8" i="4"/>
  <c r="EG8" i="4"/>
  <c r="EH8" i="4"/>
  <c r="EI8" i="4"/>
  <c r="EJ8" i="4"/>
  <c r="EK8" i="4"/>
  <c r="EL8" i="4"/>
  <c r="EM8" i="4"/>
  <c r="EN8" i="4"/>
  <c r="EO8" i="4"/>
  <c r="EP8" i="4"/>
  <c r="EQ8" i="4"/>
  <c r="ER8" i="4"/>
  <c r="ES8" i="4"/>
  <c r="ET8" i="4"/>
  <c r="EU8" i="4"/>
  <c r="EV8" i="4"/>
  <c r="EW8" i="4"/>
  <c r="EX8" i="4"/>
  <c r="EY8" i="4"/>
  <c r="EZ8" i="4"/>
  <c r="FA8" i="4"/>
  <c r="FB8" i="4"/>
  <c r="FC8" i="4"/>
  <c r="FD8" i="4"/>
  <c r="FE8" i="4"/>
  <c r="FF8" i="4"/>
  <c r="FG8" i="4"/>
  <c r="FH8" i="4"/>
  <c r="FI8" i="4"/>
  <c r="FJ8" i="4"/>
  <c r="FK8" i="4"/>
  <c r="FL8" i="4"/>
  <c r="FM8" i="4"/>
  <c r="FN8" i="4"/>
  <c r="FO8" i="4"/>
  <c r="FP8" i="4"/>
  <c r="FQ8" i="4"/>
  <c r="FR8" i="4"/>
  <c r="FS8" i="4"/>
  <c r="FT8" i="4"/>
  <c r="FU8" i="4"/>
  <c r="FV8" i="4"/>
  <c r="FW8" i="4"/>
  <c r="FX8" i="4"/>
  <c r="FY8" i="4"/>
  <c r="FZ8" i="4"/>
  <c r="GA8" i="4"/>
  <c r="GB8" i="4"/>
  <c r="GC8" i="4"/>
  <c r="GD8" i="4"/>
  <c r="GE8" i="4"/>
  <c r="GF8" i="4"/>
  <c r="GG8" i="4"/>
  <c r="GH8" i="4"/>
  <c r="GI8" i="4"/>
  <c r="GJ8" i="4"/>
  <c r="GK8" i="4"/>
  <c r="GL8" i="4"/>
  <c r="GM8" i="4"/>
  <c r="GN8" i="4"/>
  <c r="GO8" i="4"/>
  <c r="GP8" i="4"/>
  <c r="GQ8" i="4"/>
  <c r="GR8" i="4"/>
  <c r="GS8" i="4"/>
  <c r="GT8" i="4"/>
  <c r="GU8" i="4"/>
  <c r="GV8" i="4"/>
  <c r="GW8" i="4"/>
  <c r="GX8" i="4"/>
  <c r="GY8" i="4"/>
  <c r="GZ8" i="4"/>
  <c r="HA8" i="4"/>
  <c r="HB8" i="4"/>
  <c r="HC8" i="4"/>
  <c r="HD8" i="4"/>
  <c r="HE8" i="4"/>
  <c r="HF8" i="4"/>
  <c r="HG8" i="4"/>
  <c r="HH8" i="4"/>
  <c r="HI8" i="4"/>
  <c r="HJ8" i="4"/>
  <c r="HK8" i="4"/>
  <c r="HL8" i="4"/>
  <c r="HM8" i="4"/>
  <c r="HN8" i="4"/>
  <c r="HO8" i="4"/>
  <c r="HP8" i="4"/>
  <c r="HQ8" i="4"/>
  <c r="HR8" i="4"/>
  <c r="HS8" i="4"/>
  <c r="HT8" i="4"/>
  <c r="HU8" i="4"/>
  <c r="HV8" i="4"/>
  <c r="HW8" i="4"/>
  <c r="HX8" i="4"/>
  <c r="HY8" i="4"/>
  <c r="HZ8" i="4"/>
  <c r="IA8" i="4"/>
  <c r="IB8" i="4"/>
  <c r="IC8" i="4"/>
  <c r="ID8" i="4"/>
  <c r="IE8" i="4"/>
  <c r="IF8" i="4"/>
  <c r="IG8" i="4"/>
  <c r="IH8" i="4"/>
  <c r="II8" i="4"/>
  <c r="IJ8" i="4"/>
  <c r="IK8" i="4"/>
  <c r="IL8" i="4"/>
  <c r="IM8" i="4"/>
  <c r="IN8" i="4"/>
  <c r="B8" i="4"/>
  <c r="B6" i="4" l="1"/>
</calcChain>
</file>

<file path=xl/sharedStrings.xml><?xml version="1.0" encoding="utf-8"?>
<sst xmlns="http://schemas.openxmlformats.org/spreadsheetml/2006/main" count="68" uniqueCount="57">
  <si>
    <t>Directory</t>
  </si>
  <si>
    <t>Shelf</t>
  </si>
  <si>
    <t>Deal</t>
  </si>
  <si>
    <t>Report</t>
  </si>
  <si>
    <t>Shelf List:</t>
  </si>
  <si>
    <t># of Reports</t>
  </si>
  <si>
    <t>AmeriCredit Automobile Receivables Trust</t>
  </si>
  <si>
    <t>Santander Drive Auto Receivables Trust</t>
  </si>
  <si>
    <t>AMCAR 2017-1</t>
  </si>
  <si>
    <t>2017\01 January\2017.03.23_AmeriCredit Automobile Receivables Trust 2017-1 Data Tape.csv</t>
  </si>
  <si>
    <t>2017\02 February\2017.03.23_AmeriCredit Automobile Receivables Trust 2017-1 Data Tape.csv</t>
  </si>
  <si>
    <t>2017\03 March\2017.04.24_AmeriCredit Automobile Receivables Trust 2017-1 Data Tape.csv</t>
  </si>
  <si>
    <t>2017\04 April\2017.05.23_AmeriCredit Automobile Receivables Trust 2017-1 Data Tape.csv</t>
  </si>
  <si>
    <t>2017\05 May\2017.06.23_AmeriCredit Automobile Receivables Trust 2017-1 Data Tape.csv</t>
  </si>
  <si>
    <t>2017\06 June\2017.07.24_AmeriCredit Automobile Receivables Trust 2017-1 Data Tape.csv</t>
  </si>
  <si>
    <t>2017\07 July\2017.08.23_AmeriCredit Automobile Receivables Trust 2017-1 Data Tape.csv</t>
  </si>
  <si>
    <t>2017\08 August\2017.09.25_AmeriCredit Automobile Receivables Trust 2017-1 Data Tape.csv</t>
  </si>
  <si>
    <t>AMCAR 2017-2</t>
  </si>
  <si>
    <t>2017\03 March\2017.05.02_AmeriCredit Automobile Receivables Trust 2017-2 Data Tape.csv</t>
  </si>
  <si>
    <t>2017\04 April\2017.06.23_AmeriCredit Automobile Receivables Trust 2017-2 Data Tape.csv</t>
  </si>
  <si>
    <t>2017\05 May\2017.07.24_AmeriCredit Automobile Receivables Trust 2017-2 Data Tape.csv</t>
  </si>
  <si>
    <t>2017\06 June\2017.08.23_AmeriCredit Automobile Receivables Trust 2017-2 Data Tape.csv</t>
  </si>
  <si>
    <t>2017\08 August\2017.09.25_AmeriCredit Automobile Receivables Trust 2017-2 Data Tape.csv</t>
  </si>
  <si>
    <t>AMCAR 2017-3</t>
  </si>
  <si>
    <t>2017\06 June\2017.07.01_AmeriCredit Automobile Receivables Trust 2017-3 Data Tape.csv</t>
  </si>
  <si>
    <t>2017\07 July\2017.08.25_AmeriCredit Automobile Receivables Trust 2017-3 Data Tape.csv</t>
  </si>
  <si>
    <t>2017\08 August\2017.09.25_AmeriCredit Automobile Receivables Trust 2017-3 Data Tape.csv</t>
  </si>
  <si>
    <t>SDART 2017-1</t>
  </si>
  <si>
    <t>2017\01 January\2017.02.15_Santander Drive Auto Receivables Trust 2017-1 Data Tape.csv</t>
  </si>
  <si>
    <t>2017\02 February\2017.03.15_Santander Drive Auto Receivables Trust 2017-1 Data Tape.csv</t>
  </si>
  <si>
    <t>2017\03 March\2017.04.17_Santander Drive Auto Receivables Trust 2017-1 Data Tape.csv</t>
  </si>
  <si>
    <t>2017\04 April\2017.05.15_Santander Drive Auto Receivables Trust 2017-1 Data Tape.csv</t>
  </si>
  <si>
    <t>2017\05 May\2017.06.15_Santander Drive Auto Receivables Trust 2017-1 Data Tape.csv</t>
  </si>
  <si>
    <t>2017\06 June\2017.07.17_Santander Drive Auto Receivables Trust 2017-1 Data Tape.csv</t>
  </si>
  <si>
    <t>2017\07 July\2017.08.15_Santander Drive Auto Receivables Trust 2017-1 Data Tape.csv</t>
  </si>
  <si>
    <t>2017\08 August\2017.09.15_Santander Drive Auto Receivables Trust 2017-1 Data Tape.csv</t>
  </si>
  <si>
    <t>2017\09 September\2017.10.16_Santander Drive Auto Receivables Trust 2017-1 Data Tape.csv</t>
  </si>
  <si>
    <t>SDART 2017-2</t>
  </si>
  <si>
    <t>2017\04 April\2017.05.18_Santander Drive Auto Receivables Trust 2017-2 Data Tape.csv</t>
  </si>
  <si>
    <t>2017\05 May\2017.06.15_Santander Drive Auto Receivables Trust 2017-2 Data Tape.csv</t>
  </si>
  <si>
    <t>2017\06 June\2017.07.17_Santander Drive Auto Receivables Trust 2017-2 Data Tape.csv</t>
  </si>
  <si>
    <t>2017\07 July\2017.08.15_Santander Drive Auto Receivables Trust 2017-2 Data Tape.csv</t>
  </si>
  <si>
    <t>2017\08 August\2017.09.15_Santander Drive Auto Receivables Trust 2017-2 Data Tape.csv</t>
  </si>
  <si>
    <t>2017\09 September\2017.10.16_Santander Drive Auto Receivables Trust 2017-2 Data Tape.csv</t>
  </si>
  <si>
    <t>SDART 2017-3</t>
  </si>
  <si>
    <t>2017\08 August\2017.09.07_Santander Drive Auto Receivables Trust 2017-3 Data Tape.csv</t>
  </si>
  <si>
    <t>2017\09 September\2017.10.16_Santander Drive Auto Receivables Trust 2017-3 Data Tape.csv</t>
  </si>
  <si>
    <t>U:\AutoLoanTapes</t>
  </si>
  <si>
    <t>Deal Selection</t>
  </si>
  <si>
    <t>Report Selection</t>
  </si>
  <si>
    <t># Deals</t>
  </si>
  <si>
    <t>Max Report Length</t>
  </si>
  <si>
    <t>Weighted Average</t>
  </si>
  <si>
    <t>Credit Score at Origination</t>
  </si>
  <si>
    <t>Remaining Term to Maturity</t>
  </si>
  <si>
    <t>APR at Origination</t>
  </si>
  <si>
    <t>Payment to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</si>
</sst>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14</xdr:row>
          <xdr:rowOff>28575</xdr:rowOff>
        </xdr:from>
        <xdr:to>
          <xdr:col>0</xdr:col>
          <xdr:colOff>1657350</xdr:colOff>
          <xdr:row>18</xdr:row>
          <xdr:rowOff>66675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Tapes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4"/>
  <sheetViews>
    <sheetView workbookViewId="0">
      <selection activeCell="B10" sqref="B10"/>
    </sheetView>
  </sheetViews>
  <sheetFormatPr defaultRowHeight="15" x14ac:dyDescent="0.25"/>
  <cols>
    <col min="1" max="1" width="21.7109375" customWidth="1"/>
    <col min="2" max="2" width="82" customWidth="1"/>
  </cols>
  <sheetData>
    <row r="1" spans="1:2" x14ac:dyDescent="0.25">
      <c r="A1" t="s">
        <v>0</v>
      </c>
      <c r="B1" t="s">
        <v>47</v>
      </c>
    </row>
    <row r="2" spans="1:2" x14ac:dyDescent="0.25">
      <c r="A2" t="s">
        <v>1</v>
      </c>
      <c r="B2" t="str">
        <f t="array" ref="B2">INDEX(Shelf_List,,MATCH(Out.Cur_Deal,Deal_Names,0))</f>
        <v>Santander Drive Auto Receivables Trust</v>
      </c>
    </row>
    <row r="3" spans="1:2" x14ac:dyDescent="0.25">
      <c r="A3" t="s">
        <v>48</v>
      </c>
      <c r="B3" t="s">
        <v>27</v>
      </c>
    </row>
    <row r="4" spans="1:2" x14ac:dyDescent="0.25">
      <c r="A4" t="s">
        <v>49</v>
      </c>
      <c r="B4" t="s">
        <v>30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Setup!$B$9:$DY$9</xm:f>
          </x14:formula1>
          <xm:sqref>B3</xm:sqref>
        </x14:dataValidation>
        <x14:dataValidation type="list" allowBlank="1" showInputMessage="1" showErrorMessage="1">
          <x14:formula1>
            <xm:f>OFFSET(Setup!A12,,MATCH(B3,Setup!$B$9:$CG$9,0),80,)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D37"/>
  <sheetViews>
    <sheetView tabSelected="1" workbookViewId="0">
      <selection activeCell="E5" sqref="E5"/>
    </sheetView>
  </sheetViews>
  <sheetFormatPr defaultRowHeight="15" x14ac:dyDescent="0.25"/>
  <cols>
    <col min="3" max="3" width="26.28515625" bestFit="1" customWidth="1"/>
    <col min="4" max="4" width="17.7109375" bestFit="1" customWidth="1"/>
  </cols>
  <sheetData>
    <row r="2" spans="3:4" x14ac:dyDescent="0.25">
      <c r="C2" s="3"/>
      <c r="D2" s="4" t="s">
        <v>52</v>
      </c>
    </row>
    <row r="3" spans="3:4" x14ac:dyDescent="0.25">
      <c r="C3" s="5" t="s">
        <v>53</v>
      </c>
      <c r="D3" s="7">
        <v>609.16160322461542</v>
      </c>
    </row>
    <row r="4" spans="3:4" x14ac:dyDescent="0.25">
      <c r="C4" s="5" t="s">
        <v>54</v>
      </c>
      <c r="D4" s="7">
        <v>65.263160272204445</v>
      </c>
    </row>
    <row r="5" spans="3:4" x14ac:dyDescent="0.25">
      <c r="C5" s="8" t="s">
        <v>55</v>
      </c>
      <c r="D5" s="9">
        <v>0.1572747068947567</v>
      </c>
    </row>
    <row r="6" spans="3:4" x14ac:dyDescent="0.25">
      <c r="C6" s="6" t="s">
        <v>56</v>
      </c>
      <c r="D6" s="6">
        <v>0.1028131190876256</v>
      </c>
    </row>
    <row r="7" spans="3:4" x14ac:dyDescent="0.25">
      <c r="C7" s="6"/>
      <c r="D7" s="6"/>
    </row>
    <row r="8" spans="3:4" x14ac:dyDescent="0.25">
      <c r="C8" s="3"/>
      <c r="D8" s="4"/>
    </row>
    <row r="9" spans="3:4" x14ac:dyDescent="0.25">
      <c r="C9" s="8"/>
      <c r="D9" s="9"/>
    </row>
    <row r="11" spans="3:4" x14ac:dyDescent="0.25">
      <c r="C11" s="3"/>
      <c r="D11" s="4"/>
    </row>
    <row r="12" spans="3:4" x14ac:dyDescent="0.25">
      <c r="C12" s="5"/>
      <c r="D12" s="7"/>
    </row>
    <row r="13" spans="3:4" x14ac:dyDescent="0.25">
      <c r="C13" s="5"/>
      <c r="D13" s="7"/>
    </row>
    <row r="14" spans="3:4" x14ac:dyDescent="0.25">
      <c r="C14" s="5"/>
      <c r="D14" s="7"/>
    </row>
    <row r="15" spans="3:4" x14ac:dyDescent="0.25">
      <c r="C15" s="8"/>
      <c r="D15" s="9"/>
    </row>
    <row r="17" spans="3:4" x14ac:dyDescent="0.25">
      <c r="C17" s="3"/>
      <c r="D17" s="4"/>
    </row>
    <row r="18" spans="3:4" x14ac:dyDescent="0.25">
      <c r="C18" s="5"/>
      <c r="D18" s="7"/>
    </row>
    <row r="19" spans="3:4" x14ac:dyDescent="0.25">
      <c r="C19" s="5"/>
      <c r="D19" s="7"/>
    </row>
    <row r="20" spans="3:4" x14ac:dyDescent="0.25">
      <c r="C20" s="5"/>
      <c r="D20" s="7"/>
    </row>
    <row r="21" spans="3:4" x14ac:dyDescent="0.25">
      <c r="C21" s="8"/>
      <c r="D21" s="9"/>
    </row>
    <row r="23" spans="3:4" x14ac:dyDescent="0.25">
      <c r="C23" s="3"/>
      <c r="D23" s="4"/>
    </row>
    <row r="24" spans="3:4" x14ac:dyDescent="0.25">
      <c r="C24" s="5"/>
      <c r="D24" s="7"/>
    </row>
    <row r="25" spans="3:4" x14ac:dyDescent="0.25">
      <c r="C25" s="5"/>
      <c r="D25" s="7"/>
    </row>
    <row r="26" spans="3:4" x14ac:dyDescent="0.25">
      <c r="C26" s="5"/>
      <c r="D26" s="7"/>
    </row>
    <row r="27" spans="3:4" x14ac:dyDescent="0.25">
      <c r="C27" s="8"/>
      <c r="D27" s="9"/>
    </row>
    <row r="29" spans="3:4" x14ac:dyDescent="0.25">
      <c r="C29" s="3"/>
      <c r="D29" s="4"/>
    </row>
    <row r="30" spans="3:4" x14ac:dyDescent="0.25">
      <c r="C30" s="5"/>
      <c r="D30" s="7"/>
    </row>
    <row r="31" spans="3:4" x14ac:dyDescent="0.25">
      <c r="C31" s="5"/>
      <c r="D31" s="7"/>
    </row>
    <row r="32" spans="3:4" x14ac:dyDescent="0.25">
      <c r="C32" s="5"/>
      <c r="D32" s="7"/>
    </row>
    <row r="33" spans="3:4" x14ac:dyDescent="0.25">
      <c r="C33" s="8"/>
      <c r="D33" s="9"/>
    </row>
    <row r="35" spans="3:4" x14ac:dyDescent="0.25">
      <c r="C35" s="3"/>
      <c r="D35" s="4"/>
    </row>
    <row r="36" spans="3:4" x14ac:dyDescent="0.25">
      <c r="C36" s="5"/>
      <c r="D36" s="7"/>
    </row>
    <row r="37" spans="3:4" x14ac:dyDescent="0.25">
      <c r="C37" s="8"/>
      <c r="D37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N18"/>
  <sheetViews>
    <sheetView workbookViewId="0">
      <selection activeCell="A11" sqref="A11"/>
    </sheetView>
  </sheetViews>
  <sheetFormatPr defaultRowHeight="15" x14ac:dyDescent="0.25"/>
  <cols>
    <col min="1" max="1" width="39.7109375" bestFit="1" customWidth="1"/>
    <col min="2" max="2" width="86" bestFit="1" customWidth="1"/>
    <col min="3" max="4" width="84.28515625" bestFit="1" customWidth="1"/>
    <col min="5" max="7" width="85" bestFit="1" customWidth="1"/>
  </cols>
  <sheetData>
    <row r="1" spans="1:248" x14ac:dyDescent="0.25">
      <c r="A1" t="s">
        <v>0</v>
      </c>
      <c r="B1" t="s">
        <v>47</v>
      </c>
    </row>
    <row r="2" spans="1:248" x14ac:dyDescent="0.25">
      <c r="A2" t="s">
        <v>1</v>
      </c>
      <c r="B2" t="str">
        <f>Output!B2</f>
        <v>Santander Drive Auto Receivables Trust</v>
      </c>
    </row>
    <row r="3" spans="1:248" x14ac:dyDescent="0.25">
      <c r="A3" t="s">
        <v>2</v>
      </c>
      <c r="B3" t="str">
        <f>Out.Cur_Deal</f>
        <v>SDART 2017-1</v>
      </c>
    </row>
    <row r="4" spans="1:248" x14ac:dyDescent="0.25">
      <c r="A4" t="s">
        <v>3</v>
      </c>
      <c r="B4" t="str">
        <f>Out.Cur_Report</f>
        <v>2017\03 March\2017.04.17_Santander Drive Auto Receivables Trust 2017-1 Data Tape.csv</v>
      </c>
    </row>
    <row r="5" spans="1:248" x14ac:dyDescent="0.25">
      <c r="A5" t="s">
        <v>50</v>
      </c>
      <c r="B5" s="2">
        <f>COUNTA(Deal_Names)+1</f>
        <v>7</v>
      </c>
    </row>
    <row r="6" spans="1:248" x14ac:dyDescent="0.25">
      <c r="A6" t="s">
        <v>51</v>
      </c>
      <c r="B6" s="2">
        <f>MAX(Num_Reports)</f>
        <v>9</v>
      </c>
    </row>
    <row r="7" spans="1:248" x14ac:dyDescent="0.25">
      <c r="A7" t="s">
        <v>4</v>
      </c>
      <c r="B7" t="s">
        <v>6</v>
      </c>
      <c r="C7" t="s">
        <v>6</v>
      </c>
      <c r="D7" t="s">
        <v>6</v>
      </c>
      <c r="E7" t="s">
        <v>7</v>
      </c>
      <c r="F7" t="s">
        <v>7</v>
      </c>
      <c r="G7" t="s">
        <v>7</v>
      </c>
    </row>
    <row r="8" spans="1:248" x14ac:dyDescent="0.25">
      <c r="A8" t="s">
        <v>5</v>
      </c>
      <c r="B8" s="2">
        <f>COUNTA(B10:B89)</f>
        <v>8</v>
      </c>
      <c r="C8" s="2">
        <f t="shared" ref="C8:BN8" si="0">COUNTA(C10:C89)</f>
        <v>5</v>
      </c>
      <c r="D8" s="2">
        <f t="shared" si="0"/>
        <v>3</v>
      </c>
      <c r="E8" s="2">
        <f t="shared" si="0"/>
        <v>9</v>
      </c>
      <c r="F8" s="2">
        <f t="shared" si="0"/>
        <v>6</v>
      </c>
      <c r="G8" s="2">
        <f t="shared" si="0"/>
        <v>2</v>
      </c>
      <c r="H8" s="2">
        <f t="shared" si="0"/>
        <v>0</v>
      </c>
      <c r="I8" s="2">
        <f t="shared" si="0"/>
        <v>0</v>
      </c>
      <c r="J8" s="2">
        <f t="shared" si="0"/>
        <v>0</v>
      </c>
      <c r="K8" s="2">
        <f t="shared" si="0"/>
        <v>0</v>
      </c>
      <c r="L8" s="2">
        <f t="shared" si="0"/>
        <v>0</v>
      </c>
      <c r="M8" s="2">
        <f t="shared" si="0"/>
        <v>0</v>
      </c>
      <c r="N8" s="2">
        <f t="shared" si="0"/>
        <v>0</v>
      </c>
      <c r="O8" s="2">
        <f t="shared" si="0"/>
        <v>0</v>
      </c>
      <c r="P8" s="2">
        <f t="shared" si="0"/>
        <v>0</v>
      </c>
      <c r="Q8" s="2">
        <f t="shared" si="0"/>
        <v>0</v>
      </c>
      <c r="R8" s="2">
        <f t="shared" si="0"/>
        <v>0</v>
      </c>
      <c r="S8" s="2">
        <f t="shared" si="0"/>
        <v>0</v>
      </c>
      <c r="T8" s="2">
        <f t="shared" si="0"/>
        <v>0</v>
      </c>
      <c r="U8" s="2">
        <f t="shared" si="0"/>
        <v>0</v>
      </c>
      <c r="V8" s="2">
        <f t="shared" si="0"/>
        <v>0</v>
      </c>
      <c r="W8" s="2">
        <f t="shared" si="0"/>
        <v>0</v>
      </c>
      <c r="X8" s="2">
        <f t="shared" si="0"/>
        <v>0</v>
      </c>
      <c r="Y8" s="2">
        <f t="shared" si="0"/>
        <v>0</v>
      </c>
      <c r="Z8" s="2">
        <f t="shared" si="0"/>
        <v>0</v>
      </c>
      <c r="AA8" s="2">
        <f t="shared" si="0"/>
        <v>0</v>
      </c>
      <c r="AB8" s="2">
        <f t="shared" si="0"/>
        <v>0</v>
      </c>
      <c r="AC8" s="2">
        <f t="shared" si="0"/>
        <v>0</v>
      </c>
      <c r="AD8" s="2">
        <f t="shared" si="0"/>
        <v>0</v>
      </c>
      <c r="AE8" s="2">
        <f t="shared" si="0"/>
        <v>0</v>
      </c>
      <c r="AF8" s="2">
        <f t="shared" si="0"/>
        <v>0</v>
      </c>
      <c r="AG8" s="2">
        <f t="shared" si="0"/>
        <v>0</v>
      </c>
      <c r="AH8" s="2">
        <f t="shared" si="0"/>
        <v>0</v>
      </c>
      <c r="AI8" s="2">
        <f t="shared" si="0"/>
        <v>0</v>
      </c>
      <c r="AJ8" s="2">
        <f t="shared" si="0"/>
        <v>0</v>
      </c>
      <c r="AK8" s="2">
        <f t="shared" si="0"/>
        <v>0</v>
      </c>
      <c r="AL8" s="2">
        <f t="shared" si="0"/>
        <v>0</v>
      </c>
      <c r="AM8" s="2">
        <f t="shared" si="0"/>
        <v>0</v>
      </c>
      <c r="AN8" s="2">
        <f t="shared" si="0"/>
        <v>0</v>
      </c>
      <c r="AO8" s="2">
        <f t="shared" si="0"/>
        <v>0</v>
      </c>
      <c r="AP8" s="2">
        <f t="shared" si="0"/>
        <v>0</v>
      </c>
      <c r="AQ8" s="2">
        <f t="shared" si="0"/>
        <v>0</v>
      </c>
      <c r="AR8" s="2">
        <f t="shared" si="0"/>
        <v>0</v>
      </c>
      <c r="AS8" s="2">
        <f t="shared" si="0"/>
        <v>0</v>
      </c>
      <c r="AT8" s="2">
        <f t="shared" si="0"/>
        <v>0</v>
      </c>
      <c r="AU8" s="2">
        <f t="shared" si="0"/>
        <v>0</v>
      </c>
      <c r="AV8" s="2">
        <f t="shared" si="0"/>
        <v>0</v>
      </c>
      <c r="AW8" s="2">
        <f t="shared" si="0"/>
        <v>0</v>
      </c>
      <c r="AX8" s="2">
        <f t="shared" si="0"/>
        <v>0</v>
      </c>
      <c r="AY8" s="2">
        <f t="shared" si="0"/>
        <v>0</v>
      </c>
      <c r="AZ8" s="2">
        <f t="shared" si="0"/>
        <v>0</v>
      </c>
      <c r="BA8" s="2">
        <f t="shared" si="0"/>
        <v>0</v>
      </c>
      <c r="BB8" s="2">
        <f t="shared" si="0"/>
        <v>0</v>
      </c>
      <c r="BC8" s="2">
        <f t="shared" si="0"/>
        <v>0</v>
      </c>
      <c r="BD8" s="2">
        <f t="shared" si="0"/>
        <v>0</v>
      </c>
      <c r="BE8" s="2">
        <f t="shared" si="0"/>
        <v>0</v>
      </c>
      <c r="BF8" s="2">
        <f t="shared" si="0"/>
        <v>0</v>
      </c>
      <c r="BG8" s="2">
        <f t="shared" si="0"/>
        <v>0</v>
      </c>
      <c r="BH8" s="2">
        <f t="shared" si="0"/>
        <v>0</v>
      </c>
      <c r="BI8" s="2">
        <f t="shared" si="0"/>
        <v>0</v>
      </c>
      <c r="BJ8" s="2">
        <f t="shared" si="0"/>
        <v>0</v>
      </c>
      <c r="BK8" s="2">
        <f t="shared" si="0"/>
        <v>0</v>
      </c>
      <c r="BL8" s="2">
        <f t="shared" si="0"/>
        <v>0</v>
      </c>
      <c r="BM8" s="2">
        <f t="shared" si="0"/>
        <v>0</v>
      </c>
      <c r="BN8" s="2">
        <f t="shared" si="0"/>
        <v>0</v>
      </c>
      <c r="BO8" s="2">
        <f t="shared" ref="BO8:DZ8" si="1">COUNTA(BO10:BO89)</f>
        <v>0</v>
      </c>
      <c r="BP8" s="2">
        <f t="shared" si="1"/>
        <v>0</v>
      </c>
      <c r="BQ8" s="2">
        <f t="shared" si="1"/>
        <v>0</v>
      </c>
      <c r="BR8" s="2">
        <f t="shared" si="1"/>
        <v>0</v>
      </c>
      <c r="BS8" s="2">
        <f t="shared" si="1"/>
        <v>0</v>
      </c>
      <c r="BT8" s="2">
        <f t="shared" si="1"/>
        <v>0</v>
      </c>
      <c r="BU8" s="2">
        <f t="shared" si="1"/>
        <v>0</v>
      </c>
      <c r="BV8" s="2">
        <f t="shared" si="1"/>
        <v>0</v>
      </c>
      <c r="BW8" s="2">
        <f t="shared" si="1"/>
        <v>0</v>
      </c>
      <c r="BX8" s="2">
        <f t="shared" si="1"/>
        <v>0</v>
      </c>
      <c r="BY8" s="2">
        <f t="shared" si="1"/>
        <v>0</v>
      </c>
      <c r="BZ8" s="2">
        <f t="shared" si="1"/>
        <v>0</v>
      </c>
      <c r="CA8" s="2">
        <f t="shared" si="1"/>
        <v>0</v>
      </c>
      <c r="CB8" s="2">
        <f t="shared" si="1"/>
        <v>0</v>
      </c>
      <c r="CC8" s="2">
        <f t="shared" si="1"/>
        <v>0</v>
      </c>
      <c r="CD8" s="2">
        <f t="shared" si="1"/>
        <v>0</v>
      </c>
      <c r="CE8" s="2">
        <f t="shared" si="1"/>
        <v>0</v>
      </c>
      <c r="CF8" s="2">
        <f t="shared" si="1"/>
        <v>0</v>
      </c>
      <c r="CG8" s="2">
        <f t="shared" si="1"/>
        <v>0</v>
      </c>
      <c r="CH8" s="2">
        <f t="shared" si="1"/>
        <v>0</v>
      </c>
      <c r="CI8" s="2">
        <f t="shared" si="1"/>
        <v>0</v>
      </c>
      <c r="CJ8" s="2">
        <f t="shared" si="1"/>
        <v>0</v>
      </c>
      <c r="CK8" s="2">
        <f t="shared" si="1"/>
        <v>0</v>
      </c>
      <c r="CL8" s="2">
        <f t="shared" si="1"/>
        <v>0</v>
      </c>
      <c r="CM8" s="2">
        <f t="shared" si="1"/>
        <v>0</v>
      </c>
      <c r="CN8" s="2">
        <f t="shared" si="1"/>
        <v>0</v>
      </c>
      <c r="CO8" s="2">
        <f t="shared" si="1"/>
        <v>0</v>
      </c>
      <c r="CP8" s="2">
        <f t="shared" si="1"/>
        <v>0</v>
      </c>
      <c r="CQ8" s="2">
        <f t="shared" si="1"/>
        <v>0</v>
      </c>
      <c r="CR8" s="2">
        <f t="shared" si="1"/>
        <v>0</v>
      </c>
      <c r="CS8" s="2">
        <f t="shared" si="1"/>
        <v>0</v>
      </c>
      <c r="CT8" s="2">
        <f t="shared" si="1"/>
        <v>0</v>
      </c>
      <c r="CU8" s="2">
        <f t="shared" si="1"/>
        <v>0</v>
      </c>
      <c r="CV8" s="2">
        <f t="shared" si="1"/>
        <v>0</v>
      </c>
      <c r="CW8" s="2">
        <f t="shared" si="1"/>
        <v>0</v>
      </c>
      <c r="CX8" s="2">
        <f t="shared" si="1"/>
        <v>0</v>
      </c>
      <c r="CY8" s="2">
        <f t="shared" si="1"/>
        <v>0</v>
      </c>
      <c r="CZ8" s="2">
        <f t="shared" si="1"/>
        <v>0</v>
      </c>
      <c r="DA8" s="2">
        <f t="shared" si="1"/>
        <v>0</v>
      </c>
      <c r="DB8" s="2">
        <f t="shared" si="1"/>
        <v>0</v>
      </c>
      <c r="DC8" s="2">
        <f t="shared" si="1"/>
        <v>0</v>
      </c>
      <c r="DD8" s="2">
        <f t="shared" si="1"/>
        <v>0</v>
      </c>
      <c r="DE8" s="2">
        <f t="shared" si="1"/>
        <v>0</v>
      </c>
      <c r="DF8" s="2">
        <f t="shared" si="1"/>
        <v>0</v>
      </c>
      <c r="DG8" s="2">
        <f t="shared" si="1"/>
        <v>0</v>
      </c>
      <c r="DH8" s="2">
        <f t="shared" si="1"/>
        <v>0</v>
      </c>
      <c r="DI8" s="2">
        <f t="shared" si="1"/>
        <v>0</v>
      </c>
      <c r="DJ8" s="2">
        <f t="shared" si="1"/>
        <v>0</v>
      </c>
      <c r="DK8" s="2">
        <f t="shared" si="1"/>
        <v>0</v>
      </c>
      <c r="DL8" s="2">
        <f t="shared" si="1"/>
        <v>0</v>
      </c>
      <c r="DM8" s="2">
        <f t="shared" si="1"/>
        <v>0</v>
      </c>
      <c r="DN8" s="2">
        <f t="shared" si="1"/>
        <v>0</v>
      </c>
      <c r="DO8" s="2">
        <f t="shared" si="1"/>
        <v>0</v>
      </c>
      <c r="DP8" s="2">
        <f t="shared" si="1"/>
        <v>0</v>
      </c>
      <c r="DQ8" s="2">
        <f t="shared" si="1"/>
        <v>0</v>
      </c>
      <c r="DR8" s="2">
        <f t="shared" si="1"/>
        <v>0</v>
      </c>
      <c r="DS8" s="2">
        <f t="shared" si="1"/>
        <v>0</v>
      </c>
      <c r="DT8" s="2">
        <f t="shared" si="1"/>
        <v>0</v>
      </c>
      <c r="DU8" s="2">
        <f t="shared" si="1"/>
        <v>0</v>
      </c>
      <c r="DV8" s="2">
        <f t="shared" si="1"/>
        <v>0</v>
      </c>
      <c r="DW8" s="2">
        <f t="shared" si="1"/>
        <v>0</v>
      </c>
      <c r="DX8" s="2">
        <f t="shared" si="1"/>
        <v>0</v>
      </c>
      <c r="DY8" s="2">
        <f t="shared" si="1"/>
        <v>0</v>
      </c>
      <c r="DZ8" s="2">
        <f t="shared" si="1"/>
        <v>0</v>
      </c>
      <c r="EA8" s="2">
        <f t="shared" ref="EA8:GL8" si="2">COUNTA(EA10:EA89)</f>
        <v>0</v>
      </c>
      <c r="EB8" s="2">
        <f t="shared" si="2"/>
        <v>0</v>
      </c>
      <c r="EC8" s="2">
        <f t="shared" si="2"/>
        <v>0</v>
      </c>
      <c r="ED8" s="2">
        <f t="shared" si="2"/>
        <v>0</v>
      </c>
      <c r="EE8" s="2">
        <f t="shared" si="2"/>
        <v>0</v>
      </c>
      <c r="EF8" s="2">
        <f t="shared" si="2"/>
        <v>0</v>
      </c>
      <c r="EG8" s="2">
        <f t="shared" si="2"/>
        <v>0</v>
      </c>
      <c r="EH8" s="2">
        <f t="shared" si="2"/>
        <v>0</v>
      </c>
      <c r="EI8" s="2">
        <f t="shared" si="2"/>
        <v>0</v>
      </c>
      <c r="EJ8" s="2">
        <f t="shared" si="2"/>
        <v>0</v>
      </c>
      <c r="EK8" s="2">
        <f t="shared" si="2"/>
        <v>0</v>
      </c>
      <c r="EL8" s="2">
        <f t="shared" si="2"/>
        <v>0</v>
      </c>
      <c r="EM8" s="2">
        <f t="shared" si="2"/>
        <v>0</v>
      </c>
      <c r="EN8" s="2">
        <f t="shared" si="2"/>
        <v>0</v>
      </c>
      <c r="EO8" s="2">
        <f t="shared" si="2"/>
        <v>0</v>
      </c>
      <c r="EP8" s="2">
        <f t="shared" si="2"/>
        <v>0</v>
      </c>
      <c r="EQ8" s="2">
        <f t="shared" si="2"/>
        <v>0</v>
      </c>
      <c r="ER8" s="2">
        <f t="shared" si="2"/>
        <v>0</v>
      </c>
      <c r="ES8" s="2">
        <f t="shared" si="2"/>
        <v>0</v>
      </c>
      <c r="ET8" s="2">
        <f t="shared" si="2"/>
        <v>0</v>
      </c>
      <c r="EU8" s="2">
        <f t="shared" si="2"/>
        <v>0</v>
      </c>
      <c r="EV8" s="2">
        <f t="shared" si="2"/>
        <v>0</v>
      </c>
      <c r="EW8" s="2">
        <f t="shared" si="2"/>
        <v>0</v>
      </c>
      <c r="EX8" s="2">
        <f t="shared" si="2"/>
        <v>0</v>
      </c>
      <c r="EY8" s="2">
        <f t="shared" si="2"/>
        <v>0</v>
      </c>
      <c r="EZ8" s="2">
        <f t="shared" si="2"/>
        <v>0</v>
      </c>
      <c r="FA8" s="2">
        <f t="shared" si="2"/>
        <v>0</v>
      </c>
      <c r="FB8" s="2">
        <f t="shared" si="2"/>
        <v>0</v>
      </c>
      <c r="FC8" s="2">
        <f t="shared" si="2"/>
        <v>0</v>
      </c>
      <c r="FD8" s="2">
        <f t="shared" si="2"/>
        <v>0</v>
      </c>
      <c r="FE8" s="2">
        <f t="shared" si="2"/>
        <v>0</v>
      </c>
      <c r="FF8" s="2">
        <f t="shared" si="2"/>
        <v>0</v>
      </c>
      <c r="FG8" s="2">
        <f t="shared" si="2"/>
        <v>0</v>
      </c>
      <c r="FH8" s="2">
        <f t="shared" si="2"/>
        <v>0</v>
      </c>
      <c r="FI8" s="2">
        <f t="shared" si="2"/>
        <v>0</v>
      </c>
      <c r="FJ8" s="2">
        <f t="shared" si="2"/>
        <v>0</v>
      </c>
      <c r="FK8" s="2">
        <f t="shared" si="2"/>
        <v>0</v>
      </c>
      <c r="FL8" s="2">
        <f t="shared" si="2"/>
        <v>0</v>
      </c>
      <c r="FM8" s="2">
        <f t="shared" si="2"/>
        <v>0</v>
      </c>
      <c r="FN8" s="2">
        <f t="shared" si="2"/>
        <v>0</v>
      </c>
      <c r="FO8" s="2">
        <f t="shared" si="2"/>
        <v>0</v>
      </c>
      <c r="FP8" s="2">
        <f t="shared" si="2"/>
        <v>0</v>
      </c>
      <c r="FQ8" s="2">
        <f t="shared" si="2"/>
        <v>0</v>
      </c>
      <c r="FR8" s="2">
        <f t="shared" si="2"/>
        <v>0</v>
      </c>
      <c r="FS8" s="2">
        <f t="shared" si="2"/>
        <v>0</v>
      </c>
      <c r="FT8" s="2">
        <f t="shared" si="2"/>
        <v>0</v>
      </c>
      <c r="FU8" s="2">
        <f t="shared" si="2"/>
        <v>0</v>
      </c>
      <c r="FV8" s="2">
        <f t="shared" si="2"/>
        <v>0</v>
      </c>
      <c r="FW8" s="2">
        <f t="shared" si="2"/>
        <v>0</v>
      </c>
      <c r="FX8" s="2">
        <f t="shared" si="2"/>
        <v>0</v>
      </c>
      <c r="FY8" s="2">
        <f t="shared" si="2"/>
        <v>0</v>
      </c>
      <c r="FZ8" s="2">
        <f t="shared" si="2"/>
        <v>0</v>
      </c>
      <c r="GA8" s="2">
        <f t="shared" si="2"/>
        <v>0</v>
      </c>
      <c r="GB8" s="2">
        <f t="shared" si="2"/>
        <v>0</v>
      </c>
      <c r="GC8" s="2">
        <f t="shared" si="2"/>
        <v>0</v>
      </c>
      <c r="GD8" s="2">
        <f t="shared" si="2"/>
        <v>0</v>
      </c>
      <c r="GE8" s="2">
        <f t="shared" si="2"/>
        <v>0</v>
      </c>
      <c r="GF8" s="2">
        <f t="shared" si="2"/>
        <v>0</v>
      </c>
      <c r="GG8" s="2">
        <f t="shared" si="2"/>
        <v>0</v>
      </c>
      <c r="GH8" s="2">
        <f t="shared" si="2"/>
        <v>0</v>
      </c>
      <c r="GI8" s="2">
        <f t="shared" si="2"/>
        <v>0</v>
      </c>
      <c r="GJ8" s="2">
        <f t="shared" si="2"/>
        <v>0</v>
      </c>
      <c r="GK8" s="2">
        <f t="shared" si="2"/>
        <v>0</v>
      </c>
      <c r="GL8" s="2">
        <f t="shared" si="2"/>
        <v>0</v>
      </c>
      <c r="GM8" s="2">
        <f t="shared" ref="GM8:IN8" si="3">COUNTA(GM10:GM89)</f>
        <v>0</v>
      </c>
      <c r="GN8" s="2">
        <f t="shared" si="3"/>
        <v>0</v>
      </c>
      <c r="GO8" s="2">
        <f t="shared" si="3"/>
        <v>0</v>
      </c>
      <c r="GP8" s="2">
        <f t="shared" si="3"/>
        <v>0</v>
      </c>
      <c r="GQ8" s="2">
        <f t="shared" si="3"/>
        <v>0</v>
      </c>
      <c r="GR8" s="2">
        <f t="shared" si="3"/>
        <v>0</v>
      </c>
      <c r="GS8" s="2">
        <f t="shared" si="3"/>
        <v>0</v>
      </c>
      <c r="GT8" s="2">
        <f t="shared" si="3"/>
        <v>0</v>
      </c>
      <c r="GU8" s="2">
        <f t="shared" si="3"/>
        <v>0</v>
      </c>
      <c r="GV8" s="2">
        <f t="shared" si="3"/>
        <v>0</v>
      </c>
      <c r="GW8" s="2">
        <f t="shared" si="3"/>
        <v>0</v>
      </c>
      <c r="GX8" s="2">
        <f t="shared" si="3"/>
        <v>0</v>
      </c>
      <c r="GY8" s="2">
        <f t="shared" si="3"/>
        <v>0</v>
      </c>
      <c r="GZ8" s="2">
        <f t="shared" si="3"/>
        <v>0</v>
      </c>
      <c r="HA8" s="2">
        <f t="shared" si="3"/>
        <v>0</v>
      </c>
      <c r="HB8" s="2">
        <f t="shared" si="3"/>
        <v>0</v>
      </c>
      <c r="HC8" s="2">
        <f t="shared" si="3"/>
        <v>0</v>
      </c>
      <c r="HD8" s="2">
        <f t="shared" si="3"/>
        <v>0</v>
      </c>
      <c r="HE8" s="2">
        <f t="shared" si="3"/>
        <v>0</v>
      </c>
      <c r="HF8" s="2">
        <f t="shared" si="3"/>
        <v>0</v>
      </c>
      <c r="HG8" s="2">
        <f t="shared" si="3"/>
        <v>0</v>
      </c>
      <c r="HH8" s="2">
        <f t="shared" si="3"/>
        <v>0</v>
      </c>
      <c r="HI8" s="2">
        <f t="shared" si="3"/>
        <v>0</v>
      </c>
      <c r="HJ8" s="2">
        <f t="shared" si="3"/>
        <v>0</v>
      </c>
      <c r="HK8" s="2">
        <f t="shared" si="3"/>
        <v>0</v>
      </c>
      <c r="HL8" s="2">
        <f t="shared" si="3"/>
        <v>0</v>
      </c>
      <c r="HM8" s="2">
        <f t="shared" si="3"/>
        <v>0</v>
      </c>
      <c r="HN8" s="2">
        <f t="shared" si="3"/>
        <v>0</v>
      </c>
      <c r="HO8" s="2">
        <f t="shared" si="3"/>
        <v>0</v>
      </c>
      <c r="HP8" s="2">
        <f t="shared" si="3"/>
        <v>0</v>
      </c>
      <c r="HQ8" s="2">
        <f t="shared" si="3"/>
        <v>0</v>
      </c>
      <c r="HR8" s="2">
        <f t="shared" si="3"/>
        <v>0</v>
      </c>
      <c r="HS8" s="2">
        <f t="shared" si="3"/>
        <v>0</v>
      </c>
      <c r="HT8" s="2">
        <f t="shared" si="3"/>
        <v>0</v>
      </c>
      <c r="HU8" s="2">
        <f t="shared" si="3"/>
        <v>0</v>
      </c>
      <c r="HV8" s="2">
        <f t="shared" si="3"/>
        <v>0</v>
      </c>
      <c r="HW8" s="2">
        <f t="shared" si="3"/>
        <v>0</v>
      </c>
      <c r="HX8" s="2">
        <f t="shared" si="3"/>
        <v>0</v>
      </c>
      <c r="HY8" s="2">
        <f t="shared" si="3"/>
        <v>0</v>
      </c>
      <c r="HZ8" s="2">
        <f t="shared" si="3"/>
        <v>0</v>
      </c>
      <c r="IA8" s="2">
        <f t="shared" si="3"/>
        <v>0</v>
      </c>
      <c r="IB8" s="2">
        <f t="shared" si="3"/>
        <v>0</v>
      </c>
      <c r="IC8" s="2">
        <f t="shared" si="3"/>
        <v>0</v>
      </c>
      <c r="ID8" s="2">
        <f t="shared" si="3"/>
        <v>0</v>
      </c>
      <c r="IE8" s="2">
        <f t="shared" si="3"/>
        <v>0</v>
      </c>
      <c r="IF8" s="2">
        <f t="shared" si="3"/>
        <v>0</v>
      </c>
      <c r="IG8" s="2">
        <f t="shared" si="3"/>
        <v>0</v>
      </c>
      <c r="IH8" s="2">
        <f t="shared" si="3"/>
        <v>0</v>
      </c>
      <c r="II8" s="2">
        <f t="shared" si="3"/>
        <v>0</v>
      </c>
      <c r="IJ8" s="2">
        <f t="shared" si="3"/>
        <v>0</v>
      </c>
      <c r="IK8" s="2">
        <f t="shared" si="3"/>
        <v>0</v>
      </c>
      <c r="IL8" s="2">
        <f t="shared" si="3"/>
        <v>0</v>
      </c>
      <c r="IM8" s="2">
        <f t="shared" si="3"/>
        <v>0</v>
      </c>
      <c r="IN8" s="2">
        <f t="shared" si="3"/>
        <v>0</v>
      </c>
    </row>
    <row r="9" spans="1:248" x14ac:dyDescent="0.25">
      <c r="B9" t="s">
        <v>8</v>
      </c>
      <c r="C9" t="s">
        <v>17</v>
      </c>
      <c r="D9" t="s">
        <v>23</v>
      </c>
      <c r="E9" t="s">
        <v>27</v>
      </c>
      <c r="F9" t="s">
        <v>37</v>
      </c>
      <c r="G9" t="s">
        <v>44</v>
      </c>
    </row>
    <row r="10" spans="1:248" x14ac:dyDescent="0.25">
      <c r="B10" t="s">
        <v>9</v>
      </c>
      <c r="C10" t="s">
        <v>18</v>
      </c>
      <c r="D10" t="s">
        <v>24</v>
      </c>
      <c r="E10" t="s">
        <v>28</v>
      </c>
      <c r="F10" t="s">
        <v>38</v>
      </c>
      <c r="G10" t="s">
        <v>45</v>
      </c>
    </row>
    <row r="11" spans="1:248" x14ac:dyDescent="0.25">
      <c r="A11" s="1"/>
      <c r="B11" t="s">
        <v>10</v>
      </c>
      <c r="C11" t="s">
        <v>19</v>
      </c>
      <c r="D11" t="s">
        <v>25</v>
      </c>
      <c r="E11" t="s">
        <v>29</v>
      </c>
      <c r="F11" t="s">
        <v>39</v>
      </c>
      <c r="G11" t="s">
        <v>46</v>
      </c>
    </row>
    <row r="12" spans="1:248" x14ac:dyDescent="0.25">
      <c r="A12" s="1" t="s">
        <v>6</v>
      </c>
      <c r="B12" t="s">
        <v>11</v>
      </c>
      <c r="C12" t="s">
        <v>20</v>
      </c>
      <c r="D12" t="s">
        <v>26</v>
      </c>
      <c r="E12" t="s">
        <v>30</v>
      </c>
      <c r="F12" t="s">
        <v>40</v>
      </c>
    </row>
    <row r="13" spans="1:248" x14ac:dyDescent="0.25">
      <c r="A13" s="1" t="s">
        <v>7</v>
      </c>
      <c r="B13" t="s">
        <v>12</v>
      </c>
      <c r="C13" t="s">
        <v>21</v>
      </c>
      <c r="E13" t="s">
        <v>31</v>
      </c>
      <c r="F13" t="s">
        <v>41</v>
      </c>
    </row>
    <row r="14" spans="1:248" x14ac:dyDescent="0.25">
      <c r="B14" t="s">
        <v>13</v>
      </c>
      <c r="C14" t="s">
        <v>22</v>
      </c>
      <c r="E14" t="s">
        <v>32</v>
      </c>
      <c r="F14" t="s">
        <v>42</v>
      </c>
    </row>
    <row r="15" spans="1:248" x14ac:dyDescent="0.25">
      <c r="B15" t="s">
        <v>14</v>
      </c>
      <c r="E15" t="s">
        <v>33</v>
      </c>
      <c r="F15" t="s">
        <v>43</v>
      </c>
    </row>
    <row r="16" spans="1:248" x14ac:dyDescent="0.25">
      <c r="B16" t="s">
        <v>15</v>
      </c>
      <c r="E16" t="s">
        <v>34</v>
      </c>
    </row>
    <row r="17" spans="2:5" x14ac:dyDescent="0.25">
      <c r="B17" t="s">
        <v>16</v>
      </c>
      <c r="E17" t="s">
        <v>35</v>
      </c>
    </row>
    <row r="18" spans="2:5" x14ac:dyDescent="0.25">
      <c r="E18" t="s">
        <v>36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FileList">
                <anchor moveWithCells="1" sizeWithCells="1">
                  <from>
                    <xdr:col>0</xdr:col>
                    <xdr:colOff>295275</xdr:colOff>
                    <xdr:row>14</xdr:row>
                    <xdr:rowOff>28575</xdr:rowOff>
                  </from>
                  <to>
                    <xdr:col>0</xdr:col>
                    <xdr:colOff>1657350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Output</vt:lpstr>
      <vt:lpstr>Summary</vt:lpstr>
      <vt:lpstr>Strat Tables</vt:lpstr>
      <vt:lpstr>Performance</vt:lpstr>
      <vt:lpstr>Setup</vt:lpstr>
      <vt:lpstr>Deal_Names</vt:lpstr>
      <vt:lpstr>Given_Shelves</vt:lpstr>
      <vt:lpstr>Num_Reports</vt:lpstr>
      <vt:lpstr>Out.Cur_Deal</vt:lpstr>
      <vt:lpstr>Out.Cur_Directory</vt:lpstr>
      <vt:lpstr>Out.Cur_Report</vt:lpstr>
      <vt:lpstr>Out.Cur_Shelf</vt:lpstr>
      <vt:lpstr>Setup.Deal</vt:lpstr>
      <vt:lpstr>Setup.Directory</vt:lpstr>
      <vt:lpstr>Setup.Max_Report_Num</vt:lpstr>
      <vt:lpstr>Setup.Num_Deals</vt:lpstr>
      <vt:lpstr>Setup.Report</vt:lpstr>
      <vt:lpstr>Setup.Shelf</vt:lpstr>
      <vt:lpstr>Shelf_List</vt:lpstr>
      <vt:lpstr>summary.incomeVerify</vt:lpstr>
      <vt:lpstr>summary.jobVerify</vt:lpstr>
      <vt:lpstr>summary.location</vt:lpstr>
      <vt:lpstr>summary.manufact</vt:lpstr>
      <vt:lpstr>summary.model</vt:lpstr>
      <vt:lpstr>summary.newUsed</vt:lpstr>
      <vt:lpstr>summary.WA</vt:lpstr>
      <vt:lpstr>Tapes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Austin McDonnell</dc:creator>
  <cp:lastModifiedBy>Austin McDonnell</cp:lastModifiedBy>
  <dcterms:created xsi:type="dcterms:W3CDTF">2017-11-01T16:37:04Z</dcterms:created>
  <dcterms:modified xsi:type="dcterms:W3CDTF">2017-11-08T17:18:19Z</dcterms:modified>
</cp:coreProperties>
</file>